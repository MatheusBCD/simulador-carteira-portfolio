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Mercado" sheetId="2" state="visible" r:id="rId2"/>
    <sheet name="Perfil_Risco" sheetId="3" state="visible" r:id="rId3"/>
    <sheet name="Alocacao_Modelo" sheetId="4" state="visible" r:id="rId4"/>
    <sheet name="Dados_Cliente" sheetId="5" state="visible" r:id="rId5"/>
    <sheet name="Projecao" sheetId="6" state="visible" r:id="rId6"/>
    <sheet name="Resultad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R$ #,##0.00"/>
    <numFmt numFmtId="166" formatCode="0.000%"/>
    <numFmt numFmtId="167" formatCode="R$ #,##0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0000FF"/>
    </font>
    <font>
      <i val="1"/>
      <sz val="9"/>
    </font>
    <font>
      <color rgb="00000000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6" fillId="3" borderId="0" pivotButton="0" quotePrefix="0" xfId="0"/>
    <xf numFmtId="9" fontId="4" fillId="0" borderId="0" pivotButton="0" quotePrefix="0" xfId="0"/>
    <xf numFmtId="165" fontId="4" fillId="3" borderId="0" pivotButton="0" quotePrefix="0" xfId="0"/>
    <xf numFmtId="0" fontId="7" fillId="3" borderId="0" pivotButton="0" quotePrefix="0" xfId="0"/>
    <xf numFmtId="0" fontId="7" fillId="0" borderId="0" pivotButton="0" quotePrefix="0" xfId="0"/>
    <xf numFmtId="164" fontId="6" fillId="0" borderId="0" pivotButton="0" quotePrefix="0" xfId="0"/>
    <xf numFmtId="10" fontId="6" fillId="0" borderId="0" pivotButton="0" quotePrefix="0" xfId="0"/>
    <xf numFmtId="166" fontId="6" fillId="0" borderId="0" pivotButton="0" quotePrefix="0" xfId="0"/>
    <xf numFmtId="167" fontId="0" fillId="0" borderId="0" pivotButton="0" quotePrefix="0" xfId="0"/>
    <xf numFmtId="165" fontId="6" fillId="0" borderId="0" pivotButton="0" quotePrefix="0" xfId="0"/>
    <xf numFmtId="165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Evolução do Patrimônio — Cenários</a:t>
            </a:r>
          </a:p>
        </rich>
      </tx>
    </title>
    <plotArea>
      <lineChart>
        <grouping val="standard"/>
        <ser>
          <idx val="0"/>
          <order val="0"/>
          <tx>
            <strRef>
              <f>'Projecao'!E1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'Projecao'!$B$2:$B$362</f>
            </numRef>
          </cat>
          <val>
            <numRef>
              <f>'Projecao'!$E$2:$E$362</f>
            </numRef>
          </val>
        </ser>
        <ser>
          <idx val="1"/>
          <order val="1"/>
          <tx>
            <strRef>
              <f>'Projecao'!D1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'Projecao'!$B$2:$B$362</f>
            </numRef>
          </cat>
          <val>
            <numRef>
              <f>'Projecao'!$D$2:$D$362</f>
            </numRef>
          </val>
        </ser>
        <ser>
          <idx val="2"/>
          <order val="2"/>
          <tx>
            <strRef>
              <f>'Projecao'!F1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'Projecao'!$B$2:$B$362</f>
            </numRef>
          </cat>
          <val>
            <numRef>
              <f>'Projecao'!$F$2:$F$362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Sugerida da Carteira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'Dados_Cliente'!$A$14:$A$19</f>
            </numRef>
          </cat>
          <val>
            <numRef>
              <f>'Dados_Cliente'!$B$14:$B$19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Simulador de Perfil do Cliente — Projeção de Resultados</t>
        </is>
      </c>
    </row>
    <row r="3">
      <c r="A3" s="2" t="inlineStr">
        <is>
          <t>Como usar esta planilha:</t>
        </is>
      </c>
    </row>
    <row r="4">
      <c r="A4" t="inlineStr">
        <is>
          <t>1. Vá até a aba 'Perfil_Risco' e responda as 4 perguntas (células azuis com lista suspensa).</t>
        </is>
      </c>
    </row>
    <row r="5">
      <c r="A5" t="inlineStr">
        <is>
          <t>2. Vá até a aba 'Dados_Cliente' e preencha os dados em azul (nome, idade, renda, valores e prazo).</t>
        </is>
      </c>
    </row>
    <row r="6">
      <c r="A6" t="inlineStr">
        <is>
          <t>3. Vá até a aba 'Resultado' para ver a projeção final, os indicadores e os gráficos.</t>
        </is>
      </c>
    </row>
    <row r="7">
      <c r="A7" t="inlineStr">
        <is>
          <t>4. Se quiser, ajuste as premissas de mercado (retorno/risco/inflação) na aba 'Mercado'.</t>
        </is>
      </c>
    </row>
    <row r="8">
      <c r="A8" t="inlineStr"/>
    </row>
    <row r="9">
      <c r="A9" t="inlineStr">
        <is>
          <t>Células AZUIS = você pode editar.  Células PRETAS = calculadas automaticamente, não edite.</t>
        </is>
      </c>
    </row>
    <row r="10">
      <c r="A10" t="inlineStr">
        <is>
          <t>Prazo máximo suportado por esta planilha: 30 anos.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22" customWidth="1" min="3" max="3"/>
    <col width="20" customWidth="1" min="4" max="4"/>
    <col width="45" customWidth="1" min="5" max="5"/>
  </cols>
  <sheetData>
    <row r="1">
      <c r="A1" s="1" t="inlineStr">
        <is>
          <t>Premissas de Mercado (edite os valores em azul)</t>
        </is>
      </c>
    </row>
    <row r="3">
      <c r="A3" s="3" t="inlineStr">
        <is>
          <t>Código</t>
        </is>
      </c>
      <c r="B3" s="3" t="inlineStr">
        <is>
          <t>Classe de Ativo</t>
        </is>
      </c>
      <c r="C3" s="3" t="inlineStr">
        <is>
          <t>Retorno Anual Esperado</t>
        </is>
      </c>
      <c r="D3" s="3" t="inlineStr">
        <is>
          <t>Volatilidade Anual</t>
        </is>
      </c>
      <c r="E3" s="3" t="inlineStr">
        <is>
          <t>Fonte / Observação</t>
        </is>
      </c>
    </row>
    <row r="4">
      <c r="A4" t="inlineStr">
        <is>
          <t>renda_fixa_pos</t>
        </is>
      </c>
      <c r="B4" t="inlineStr">
        <is>
          <t>Renda Fixa Pós-fixada (CDI / Tesouro Selic)</t>
        </is>
      </c>
      <c r="C4" s="4" t="n">
        <v>0.105</v>
      </c>
      <c r="D4" s="4" t="n">
        <v>0.02</v>
      </c>
      <c r="E4" s="5" t="inlineStr">
        <is>
          <t>Estimativa própria — ajustar conforme fonte oficial</t>
        </is>
      </c>
    </row>
    <row r="5">
      <c r="A5" t="inlineStr">
        <is>
          <t>renda_fixa_pre</t>
        </is>
      </c>
      <c r="B5" t="inlineStr">
        <is>
          <t>Renda Fixa Prefixada / Inflação</t>
        </is>
      </c>
      <c r="C5" s="4" t="n">
        <v>0.095</v>
      </c>
      <c r="D5" s="4" t="n">
        <v>0.06</v>
      </c>
      <c r="E5" s="5" t="inlineStr">
        <is>
          <t>Estimativa própria — ajustar conforme fonte oficial</t>
        </is>
      </c>
    </row>
    <row r="6">
      <c r="A6" t="inlineStr">
        <is>
          <t>multimercado</t>
        </is>
      </c>
      <c r="B6" t="inlineStr">
        <is>
          <t>Fundos Multimercado</t>
        </is>
      </c>
      <c r="C6" s="4" t="n">
        <v>0.12</v>
      </c>
      <c r="D6" s="4" t="n">
        <v>0.09</v>
      </c>
      <c r="E6" s="5" t="inlineStr">
        <is>
          <t>Estimativa própria — ajustar conforme fonte oficial</t>
        </is>
      </c>
    </row>
    <row r="7">
      <c r="A7" t="inlineStr">
        <is>
          <t>acoes_br</t>
        </is>
      </c>
      <c r="B7" t="inlineStr">
        <is>
          <t>Ações Brasil</t>
        </is>
      </c>
      <c r="C7" s="4" t="n">
        <v>0.15</v>
      </c>
      <c r="D7" s="4" t="n">
        <v>0.22</v>
      </c>
      <c r="E7" s="5" t="inlineStr">
        <is>
          <t>Estimativa própria — ajustar conforme fonte oficial</t>
        </is>
      </c>
    </row>
    <row r="8">
      <c r="A8" t="inlineStr">
        <is>
          <t>acoes_global</t>
        </is>
      </c>
      <c r="B8" t="inlineStr">
        <is>
          <t>Ações Globais</t>
        </is>
      </c>
      <c r="C8" s="4" t="n">
        <v>0.13</v>
      </c>
      <c r="D8" s="4" t="n">
        <v>0.18</v>
      </c>
      <c r="E8" s="5" t="inlineStr">
        <is>
          <t>Estimativa própria — ajustar conforme fonte oficial</t>
        </is>
      </c>
    </row>
    <row r="9">
      <c r="A9" t="inlineStr">
        <is>
          <t>fundos_imobiliarios</t>
        </is>
      </c>
      <c r="B9" t="inlineStr">
        <is>
          <t>Fundos Imobiliários (FIIs)</t>
        </is>
      </c>
      <c r="C9" s="4" t="n">
        <v>0.11</v>
      </c>
      <c r="D9" s="4" t="n">
        <v>0.13</v>
      </c>
      <c r="E9" s="5" t="inlineStr">
        <is>
          <t>Estimativa própria — ajustar conforme fonte oficial</t>
        </is>
      </c>
    </row>
    <row r="11">
      <c r="A11" t="inlineStr">
        <is>
          <t>Inflação anual esperada (IPCA)</t>
        </is>
      </c>
      <c r="B11" s="4" t="n">
        <v>0.045</v>
      </c>
    </row>
    <row r="12">
      <c r="A12" t="inlineStr">
        <is>
          <t>Taxa livre de risco (CDI / Selic)</t>
        </is>
      </c>
      <c r="B12" s="4" t="n">
        <v>0.105</v>
      </c>
    </row>
    <row r="14">
      <c r="A14" s="5" t="inlineStr">
        <is>
          <t>Fonte sugerida para atualização: Banco Central do Brasil (bcb.gov.br) para CDI/Selic, e IBGE (ibge.gov.br/explica/inflacao.php) para o IPCA.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12" customWidth="1" min="3" max="3"/>
    <col width="40" customWidth="1" min="8" max="8"/>
    <col width="12" customWidth="1" min="9" max="9"/>
  </cols>
  <sheetData>
    <row r="1">
      <c r="A1" s="1" t="inlineStr">
        <is>
          <t>Questionário de Perfil de Risco (Suitability)</t>
        </is>
      </c>
    </row>
    <row r="2">
      <c r="H2" t="inlineStr">
        <is>
          <t>Preservar o capital, evitando perdas</t>
        </is>
      </c>
      <c r="I2" t="n">
        <v>1</v>
      </c>
    </row>
    <row r="3">
      <c r="A3" s="3" t="inlineStr">
        <is>
          <t>Pergunta</t>
        </is>
      </c>
      <c r="B3" s="3" t="inlineStr">
        <is>
          <t>Sua resposta (selecione)</t>
        </is>
      </c>
      <c r="C3" s="3" t="inlineStr">
        <is>
          <t>Pontuação</t>
        </is>
      </c>
      <c r="H3" t="inlineStr">
        <is>
          <t>Obter renda com baixo risco</t>
        </is>
      </c>
      <c r="I3" t="n">
        <v>2</v>
      </c>
    </row>
    <row r="4">
      <c r="A4" t="inlineStr">
        <is>
          <t>Qual seu objetivo principal com os investimentos?</t>
        </is>
      </c>
      <c r="B4" s="6" t="inlineStr">
        <is>
          <t>Preservar o capital, evitando perdas</t>
        </is>
      </c>
      <c r="C4" s="7">
        <f>IFERROR(VLOOKUP(B4,$H$2:$I$5,2,FALSE),0)</f>
        <v/>
      </c>
      <c r="H4" t="inlineStr">
        <is>
          <t>Crescimento do patrimônio no médio prazo</t>
        </is>
      </c>
      <c r="I4" t="n">
        <v>3</v>
      </c>
    </row>
    <row r="5">
      <c r="A5" t="inlineStr">
        <is>
          <t>Qual seu horizonte de investimento?</t>
        </is>
      </c>
      <c r="B5" s="6" t="inlineStr">
        <is>
          <t>Até 1 ano</t>
        </is>
      </c>
      <c r="C5" s="7">
        <f>IFERROR(VLOOKUP(B5,$H$7:$I$10,2,FALSE),0)</f>
        <v/>
      </c>
      <c r="H5" t="inlineStr">
        <is>
          <t>Maximizar retorno, aceitando oscilações</t>
        </is>
      </c>
      <c r="I5" t="n">
        <v>4</v>
      </c>
    </row>
    <row r="6">
      <c r="A6" t="inlineStr">
        <is>
          <t>Se sua carteira caísse 15% em um mês, você:</t>
        </is>
      </c>
      <c r="B6" s="6" t="inlineStr">
        <is>
          <t>Resgataria tudo imediatamente</t>
        </is>
      </c>
      <c r="C6" s="7">
        <f>IFERROR(VLOOKUP(B6,$H$12:$I$15,2,FALSE),0)</f>
        <v/>
      </c>
    </row>
    <row r="7">
      <c r="A7" t="inlineStr">
        <is>
          <t>Qual sua experiência com investimentos de risco (ações, fundos)?</t>
        </is>
      </c>
      <c r="B7" s="6" t="inlineStr">
        <is>
          <t>Nenhuma experiência</t>
        </is>
      </c>
      <c r="C7" s="7">
        <f>IFERROR(VLOOKUP(B7,$H$17:$I$20,2,FALSE),0)</f>
        <v/>
      </c>
      <c r="H7" t="inlineStr">
        <is>
          <t>Até 1 ano</t>
        </is>
      </c>
      <c r="I7" t="n">
        <v>1</v>
      </c>
    </row>
    <row r="8">
      <c r="H8" t="inlineStr">
        <is>
          <t>De 1 a 3 anos</t>
        </is>
      </c>
      <c r="I8" t="n">
        <v>2</v>
      </c>
    </row>
    <row r="9">
      <c r="A9" s="8" t="inlineStr">
        <is>
          <t>Pontuação total</t>
        </is>
      </c>
      <c r="B9" s="7">
        <f>SUM(C4:C7)</f>
        <v/>
      </c>
      <c r="H9" t="inlineStr">
        <is>
          <t>De 3 a 7 anos</t>
        </is>
      </c>
      <c r="I9" t="n">
        <v>3</v>
      </c>
    </row>
    <row r="10">
      <c r="A10" s="8" t="inlineStr">
        <is>
          <t>Perfil identificado</t>
        </is>
      </c>
      <c r="B10" s="9">
        <f>IF(B9&lt;=7,"conservador",IF(B9&lt;=12,"moderado","arrojado"))</f>
        <v/>
      </c>
      <c r="H10" t="inlineStr">
        <is>
          <t>Mais de 7 anos</t>
        </is>
      </c>
      <c r="I10" t="n">
        <v>4</v>
      </c>
    </row>
    <row r="12">
      <c r="H12" t="inlineStr">
        <is>
          <t>Resgataria tudo imediatamente</t>
        </is>
      </c>
      <c r="I12" t="n">
        <v>1</v>
      </c>
    </row>
    <row r="13">
      <c r="H13" t="inlineStr">
        <is>
          <t>Resgataria parte do valor</t>
        </is>
      </c>
      <c r="I13" t="n">
        <v>2</v>
      </c>
    </row>
    <row r="14">
      <c r="H14" t="inlineStr">
        <is>
          <t>Manteria o investimento</t>
        </is>
      </c>
      <c r="I14" t="n">
        <v>3</v>
      </c>
    </row>
    <row r="15">
      <c r="H15" t="inlineStr">
        <is>
          <t>Aproveitaria para investir mais</t>
        </is>
      </c>
      <c r="I15" t="n">
        <v>4</v>
      </c>
    </row>
    <row r="17">
      <c r="H17" t="inlineStr">
        <is>
          <t>Nenhuma experiência</t>
        </is>
      </c>
      <c r="I17" t="n">
        <v>1</v>
      </c>
    </row>
    <row r="18">
      <c r="H18" t="inlineStr">
        <is>
          <t>Pouca experiência</t>
        </is>
      </c>
      <c r="I18" t="n">
        <v>2</v>
      </c>
    </row>
    <row r="19">
      <c r="H19" t="inlineStr">
        <is>
          <t>Experiência moderada</t>
        </is>
      </c>
      <c r="I19" t="n">
        <v>3</v>
      </c>
    </row>
    <row r="20">
      <c r="H20" t="inlineStr">
        <is>
          <t>Bastante experiência</t>
        </is>
      </c>
      <c r="I20" t="n">
        <v>4</v>
      </c>
    </row>
  </sheetData>
  <dataValidations count="4">
    <dataValidation sqref="B4" showDropDown="0" showInputMessage="0" showErrorMessage="0" allowBlank="0" type="list">
      <formula1>=$H$2:$H$5</formula1>
    </dataValidation>
    <dataValidation sqref="B5" showDropDown="0" showInputMessage="0" showErrorMessage="0" allowBlank="0" type="list">
      <formula1>=$H$7:$H$10</formula1>
    </dataValidation>
    <dataValidation sqref="B6" showDropDown="0" showInputMessage="0" showErrorMessage="0" allowBlank="0" type="list">
      <formula1>=$H$12:$H$15</formula1>
    </dataValidation>
    <dataValidation sqref="B7" showDropDown="0" showInputMessage="0" showErrorMessage="0" allowBlank="0" type="list">
      <formula1>=$H$17:$H$20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Alocação-modelo por Perfil de Risco (% da carteira)</t>
        </is>
      </c>
    </row>
    <row r="3">
      <c r="A3" s="8" t="inlineStr">
        <is>
          <t>Perfil</t>
        </is>
      </c>
      <c r="B3" s="3" t="inlineStr">
        <is>
          <t>renda_fixa_pos</t>
        </is>
      </c>
      <c r="C3" s="3" t="inlineStr">
        <is>
          <t>renda_fixa_pre</t>
        </is>
      </c>
      <c r="D3" s="3" t="inlineStr">
        <is>
          <t>multimercado</t>
        </is>
      </c>
      <c r="E3" s="3" t="inlineStr">
        <is>
          <t>acoes_br</t>
        </is>
      </c>
      <c r="F3" s="3" t="inlineStr">
        <is>
          <t>acoes_global</t>
        </is>
      </c>
      <c r="G3" s="3" t="inlineStr">
        <is>
          <t>fundos_imobiliarios</t>
        </is>
      </c>
    </row>
    <row r="4">
      <c r="A4" t="inlineStr">
        <is>
          <t>conservador</t>
        </is>
      </c>
      <c r="B4" s="10" t="n">
        <v>0.6</v>
      </c>
      <c r="C4" s="10" t="n">
        <v>0.3</v>
      </c>
      <c r="D4" s="10" t="n">
        <v>0.1</v>
      </c>
      <c r="E4" s="10" t="n">
        <v>0</v>
      </c>
      <c r="F4" s="10" t="n">
        <v>0</v>
      </c>
      <c r="G4" s="10" t="n">
        <v>0</v>
      </c>
    </row>
    <row r="5">
      <c r="A5" t="inlineStr">
        <is>
          <t>moderado</t>
        </is>
      </c>
      <c r="B5" s="10" t="n">
        <v>0.35</v>
      </c>
      <c r="C5" s="10" t="n">
        <v>0.2</v>
      </c>
      <c r="D5" s="10" t="n">
        <v>0.2</v>
      </c>
      <c r="E5" s="10" t="n">
        <v>0.1</v>
      </c>
      <c r="F5" s="10" t="n">
        <v>0</v>
      </c>
      <c r="G5" s="10" t="n">
        <v>0.15</v>
      </c>
    </row>
    <row r="6">
      <c r="A6" t="inlineStr">
        <is>
          <t>arrojado</t>
        </is>
      </c>
      <c r="B6" s="10" t="n">
        <v>0.15</v>
      </c>
      <c r="C6" s="10" t="n">
        <v>0</v>
      </c>
      <c r="D6" s="10" t="n">
        <v>0.2</v>
      </c>
      <c r="E6" s="10" t="n">
        <v>0.3</v>
      </c>
      <c r="F6" s="10" t="n">
        <v>0.2</v>
      </c>
      <c r="G6" s="10" t="n">
        <v>0.15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</cols>
  <sheetData>
    <row r="1">
      <c r="A1" s="1" t="inlineStr">
        <is>
          <t>Dados do Cliente</t>
        </is>
      </c>
    </row>
    <row r="3">
      <c r="A3" s="8" t="inlineStr">
        <is>
          <t>Nome</t>
        </is>
      </c>
      <c r="B3" s="6" t="inlineStr">
        <is>
          <t>Cliente</t>
        </is>
      </c>
    </row>
    <row r="4">
      <c r="A4" s="8" t="inlineStr">
        <is>
          <t>Idade</t>
        </is>
      </c>
      <c r="B4" s="6" t="n">
        <v>35</v>
      </c>
    </row>
    <row r="5">
      <c r="A5" s="8" t="inlineStr">
        <is>
          <t>Renda mensal (R$)</t>
        </is>
      </c>
      <c r="B5" s="11" t="n">
        <v>8000</v>
      </c>
    </row>
    <row r="6">
      <c r="A6" s="8" t="inlineStr">
        <is>
          <t>Valor inicial disponível (R$)</t>
        </is>
      </c>
      <c r="B6" s="11" t="n">
        <v>10000</v>
      </c>
    </row>
    <row r="7">
      <c r="A7" s="8" t="inlineStr">
        <is>
          <t>Aporte mensal planejado (R$)</t>
        </is>
      </c>
      <c r="B7" s="11" t="n">
        <v>1000</v>
      </c>
    </row>
    <row r="8">
      <c r="A8" s="8" t="inlineStr">
        <is>
          <t>Prazo do investimento (anos, máx. 30)</t>
        </is>
      </c>
      <c r="B8" s="6" t="n">
        <v>10</v>
      </c>
    </row>
    <row r="10">
      <c r="A10" s="8" t="inlineStr">
        <is>
          <t>Perfil de risco (do questionário)</t>
        </is>
      </c>
      <c r="B10" s="12">
        <f>Perfil_Risco!B10</f>
        <v/>
      </c>
    </row>
    <row r="12">
      <c r="A12" s="2" t="inlineStr">
        <is>
          <t>Alocação atual da carteira (conforme perfil)</t>
        </is>
      </c>
    </row>
    <row r="13">
      <c r="A13" s="8" t="inlineStr">
        <is>
          <t>Classe de Ativo</t>
        </is>
      </c>
      <c r="B13" s="8" t="inlineStr">
        <is>
          <t>Peso (%)</t>
        </is>
      </c>
    </row>
    <row r="14">
      <c r="A14" s="13">
        <f>Mercado!B4</f>
        <v/>
      </c>
      <c r="B14" s="14">
        <f>INDEX(Alocacao_Modelo!$B$4:$G$6,MATCH($B$10,Alocacao_Modelo!$A$4:$A$6,0),1)</f>
        <v/>
      </c>
    </row>
    <row r="15">
      <c r="A15" s="13">
        <f>Mercado!B5</f>
        <v/>
      </c>
      <c r="B15" s="14">
        <f>INDEX(Alocacao_Modelo!$B$4:$G$6,MATCH($B$10,Alocacao_Modelo!$A$4:$A$6,0),2)</f>
        <v/>
      </c>
    </row>
    <row r="16">
      <c r="A16" s="13">
        <f>Mercado!B6</f>
        <v/>
      </c>
      <c r="B16" s="14">
        <f>INDEX(Alocacao_Modelo!$B$4:$G$6,MATCH($B$10,Alocacao_Modelo!$A$4:$A$6,0),3)</f>
        <v/>
      </c>
    </row>
    <row r="17">
      <c r="A17" s="13">
        <f>Mercado!B7</f>
        <v/>
      </c>
      <c r="B17" s="14">
        <f>INDEX(Alocacao_Modelo!$B$4:$G$6,MATCH($B$10,Alocacao_Modelo!$A$4:$A$6,0),4)</f>
        <v/>
      </c>
    </row>
    <row r="18">
      <c r="A18" s="13">
        <f>Mercado!B8</f>
        <v/>
      </c>
      <c r="B18" s="14">
        <f>INDEX(Alocacao_Modelo!$B$4:$G$6,MATCH($B$10,Alocacao_Modelo!$A$4:$A$6,0),5)</f>
        <v/>
      </c>
    </row>
    <row r="19">
      <c r="A19" s="13">
        <f>Mercado!B9</f>
        <v/>
      </c>
      <c r="B19" s="14">
        <f>INDEX(Alocacao_Modelo!$B$4:$G$6,MATCH($B$10,Alocacao_Modelo!$A$4:$A$6,0),6)</f>
        <v/>
      </c>
    </row>
    <row r="21">
      <c r="A21" s="8" t="inlineStr">
        <is>
          <t>Retorno anual estimado da carteira</t>
        </is>
      </c>
      <c r="B21" s="15">
        <f>SUMPRODUCT(B14:B19,Mercado!C4:C9)</f>
        <v/>
      </c>
    </row>
    <row r="22">
      <c r="A22" s="8" t="inlineStr">
        <is>
          <t>Volatilidade anual estimada da carteira</t>
        </is>
      </c>
      <c r="B22" s="15">
        <f>SUMPRODUCT(B14:B19,Mercado!D4:D9)</f>
        <v/>
      </c>
    </row>
    <row r="24">
      <c r="A24" s="5" t="inlineStr">
        <is>
          <t>Taxa mensal — cenário esperado</t>
        </is>
      </c>
      <c r="B24" s="16">
        <f>(1+B21)^(1/12)-1</f>
        <v/>
      </c>
    </row>
    <row r="25">
      <c r="A25" s="5" t="inlineStr">
        <is>
          <t>Retorno anual — cenário otimista (aprox. percentil 90)</t>
        </is>
      </c>
      <c r="B25" s="16">
        <f>B21+1.2816*B22</f>
        <v/>
      </c>
    </row>
    <row r="26">
      <c r="A26" s="5" t="inlineStr">
        <is>
          <t>Retorno anual — cenário pessimista (aprox. percentil 10, piso -30%)</t>
        </is>
      </c>
      <c r="B26" s="16">
        <f>MAX(B21-1.2816*B22,-0.3)</f>
        <v/>
      </c>
    </row>
    <row r="27">
      <c r="A27" s="5" t="inlineStr">
        <is>
          <t>Taxa mensal — cenário otimista</t>
        </is>
      </c>
      <c r="B27" s="16">
        <f>(1+B25)^(1/12)-1</f>
        <v/>
      </c>
    </row>
    <row r="28">
      <c r="A28" s="5" t="inlineStr">
        <is>
          <t>Taxa mensal — cenário pessimista</t>
        </is>
      </c>
      <c r="B28" s="16">
        <f>(1+B26)^(1/12)-1</f>
        <v/>
      </c>
    </row>
  </sheetData>
  <dataValidations count="1">
    <dataValidation sqref="B8" showDropDown="0" showInputMessage="0" showErrorMessage="1" allowBlank="0" errorTitle="Prazo inválido" error="Digite um número inteiro entre 1 e 30 anos." type="whole" operator="between">
      <formula1>1</formula1>
      <formula2>30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6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8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Mês</t>
        </is>
      </c>
      <c r="B1" s="3" t="inlineStr">
        <is>
          <t>Ano</t>
        </is>
      </c>
      <c r="C1" s="3" t="inlineStr">
        <is>
          <t>Total Aportado</t>
        </is>
      </c>
      <c r="D1" s="3" t="inlineStr">
        <is>
          <t>Saldo — Cenário Esperado</t>
        </is>
      </c>
      <c r="E1" s="3" t="inlineStr">
        <is>
          <t>Saldo — Cenário Otimista</t>
        </is>
      </c>
      <c r="F1" s="3" t="inlineStr">
        <is>
          <t>Saldo — Cenário Pessimista</t>
        </is>
      </c>
    </row>
    <row r="2">
      <c r="A2" t="n">
        <v>0</v>
      </c>
      <c r="B2" t="n">
        <v>0</v>
      </c>
      <c r="C2" s="17">
        <f>Dados_Cliente!B6</f>
        <v/>
      </c>
      <c r="D2" s="17">
        <f>Dados_Cliente!B6</f>
        <v/>
      </c>
      <c r="E2" s="17">
        <f>Dados_Cliente!B6</f>
        <v/>
      </c>
      <c r="F2" s="17">
        <f>Dados_Cliente!B6</f>
        <v/>
      </c>
    </row>
    <row r="3">
      <c r="A3">
        <f>A2+1</f>
        <v/>
      </c>
      <c r="B3">
        <f>A3/12</f>
        <v/>
      </c>
      <c r="C3" s="17">
        <f>IF($A3&lt;=Dados_Cliente!$B$8*12,C2+Dados_Cliente!$B$7,C2)</f>
        <v/>
      </c>
      <c r="D3" s="17">
        <f>IF($A3&lt;=Dados_Cliente!$B$8*12,D2*(1+Dados_Cliente!$B$24)+Dados_Cliente!$B$7,D2)</f>
        <v/>
      </c>
      <c r="E3" s="17">
        <f>IF($A3&lt;=Dados_Cliente!$B$8*12,E2*(1+Dados_Cliente!$B$27)+Dados_Cliente!$B$7,E2)</f>
        <v/>
      </c>
      <c r="F3" s="17">
        <f>IF($A3&lt;=Dados_Cliente!$B$8*12,F2*(1+Dados_Cliente!$B$28)+Dados_Cliente!$B$7,F2)</f>
        <v/>
      </c>
    </row>
    <row r="4">
      <c r="A4">
        <f>A3+1</f>
        <v/>
      </c>
      <c r="B4">
        <f>A4/12</f>
        <v/>
      </c>
      <c r="C4" s="17">
        <f>IF($A4&lt;=Dados_Cliente!$B$8*12,C3+Dados_Cliente!$B$7,C3)</f>
        <v/>
      </c>
      <c r="D4" s="17">
        <f>IF($A4&lt;=Dados_Cliente!$B$8*12,D3*(1+Dados_Cliente!$B$24)+Dados_Cliente!$B$7,D3)</f>
        <v/>
      </c>
      <c r="E4" s="17">
        <f>IF($A4&lt;=Dados_Cliente!$B$8*12,E3*(1+Dados_Cliente!$B$27)+Dados_Cliente!$B$7,E3)</f>
        <v/>
      </c>
      <c r="F4" s="17">
        <f>IF($A4&lt;=Dados_Cliente!$B$8*12,F3*(1+Dados_Cliente!$B$28)+Dados_Cliente!$B$7,F3)</f>
        <v/>
      </c>
    </row>
    <row r="5">
      <c r="A5">
        <f>A4+1</f>
        <v/>
      </c>
      <c r="B5">
        <f>A5/12</f>
        <v/>
      </c>
      <c r="C5" s="17">
        <f>IF($A5&lt;=Dados_Cliente!$B$8*12,C4+Dados_Cliente!$B$7,C4)</f>
        <v/>
      </c>
      <c r="D5" s="17">
        <f>IF($A5&lt;=Dados_Cliente!$B$8*12,D4*(1+Dados_Cliente!$B$24)+Dados_Cliente!$B$7,D4)</f>
        <v/>
      </c>
      <c r="E5" s="17">
        <f>IF($A5&lt;=Dados_Cliente!$B$8*12,E4*(1+Dados_Cliente!$B$27)+Dados_Cliente!$B$7,E4)</f>
        <v/>
      </c>
      <c r="F5" s="17">
        <f>IF($A5&lt;=Dados_Cliente!$B$8*12,F4*(1+Dados_Cliente!$B$28)+Dados_Cliente!$B$7,F4)</f>
        <v/>
      </c>
    </row>
    <row r="6">
      <c r="A6">
        <f>A5+1</f>
        <v/>
      </c>
      <c r="B6">
        <f>A6/12</f>
        <v/>
      </c>
      <c r="C6" s="17">
        <f>IF($A6&lt;=Dados_Cliente!$B$8*12,C5+Dados_Cliente!$B$7,C5)</f>
        <v/>
      </c>
      <c r="D6" s="17">
        <f>IF($A6&lt;=Dados_Cliente!$B$8*12,D5*(1+Dados_Cliente!$B$24)+Dados_Cliente!$B$7,D5)</f>
        <v/>
      </c>
      <c r="E6" s="17">
        <f>IF($A6&lt;=Dados_Cliente!$B$8*12,E5*(1+Dados_Cliente!$B$27)+Dados_Cliente!$B$7,E5)</f>
        <v/>
      </c>
      <c r="F6" s="17">
        <f>IF($A6&lt;=Dados_Cliente!$B$8*12,F5*(1+Dados_Cliente!$B$28)+Dados_Cliente!$B$7,F5)</f>
        <v/>
      </c>
    </row>
    <row r="7">
      <c r="A7">
        <f>A6+1</f>
        <v/>
      </c>
      <c r="B7">
        <f>A7/12</f>
        <v/>
      </c>
      <c r="C7" s="17">
        <f>IF($A7&lt;=Dados_Cliente!$B$8*12,C6+Dados_Cliente!$B$7,C6)</f>
        <v/>
      </c>
      <c r="D7" s="17">
        <f>IF($A7&lt;=Dados_Cliente!$B$8*12,D6*(1+Dados_Cliente!$B$24)+Dados_Cliente!$B$7,D6)</f>
        <v/>
      </c>
      <c r="E7" s="17">
        <f>IF($A7&lt;=Dados_Cliente!$B$8*12,E6*(1+Dados_Cliente!$B$27)+Dados_Cliente!$B$7,E6)</f>
        <v/>
      </c>
      <c r="F7" s="17">
        <f>IF($A7&lt;=Dados_Cliente!$B$8*12,F6*(1+Dados_Cliente!$B$28)+Dados_Cliente!$B$7,F6)</f>
        <v/>
      </c>
    </row>
    <row r="8">
      <c r="A8">
        <f>A7+1</f>
        <v/>
      </c>
      <c r="B8">
        <f>A8/12</f>
        <v/>
      </c>
      <c r="C8" s="17">
        <f>IF($A8&lt;=Dados_Cliente!$B$8*12,C7+Dados_Cliente!$B$7,C7)</f>
        <v/>
      </c>
      <c r="D8" s="17">
        <f>IF($A8&lt;=Dados_Cliente!$B$8*12,D7*(1+Dados_Cliente!$B$24)+Dados_Cliente!$B$7,D7)</f>
        <v/>
      </c>
      <c r="E8" s="17">
        <f>IF($A8&lt;=Dados_Cliente!$B$8*12,E7*(1+Dados_Cliente!$B$27)+Dados_Cliente!$B$7,E7)</f>
        <v/>
      </c>
      <c r="F8" s="17">
        <f>IF($A8&lt;=Dados_Cliente!$B$8*12,F7*(1+Dados_Cliente!$B$28)+Dados_Cliente!$B$7,F7)</f>
        <v/>
      </c>
    </row>
    <row r="9">
      <c r="A9">
        <f>A8+1</f>
        <v/>
      </c>
      <c r="B9">
        <f>A9/12</f>
        <v/>
      </c>
      <c r="C9" s="17">
        <f>IF($A9&lt;=Dados_Cliente!$B$8*12,C8+Dados_Cliente!$B$7,C8)</f>
        <v/>
      </c>
      <c r="D9" s="17">
        <f>IF($A9&lt;=Dados_Cliente!$B$8*12,D8*(1+Dados_Cliente!$B$24)+Dados_Cliente!$B$7,D8)</f>
        <v/>
      </c>
      <c r="E9" s="17">
        <f>IF($A9&lt;=Dados_Cliente!$B$8*12,E8*(1+Dados_Cliente!$B$27)+Dados_Cliente!$B$7,E8)</f>
        <v/>
      </c>
      <c r="F9" s="17">
        <f>IF($A9&lt;=Dados_Cliente!$B$8*12,F8*(1+Dados_Cliente!$B$28)+Dados_Cliente!$B$7,F8)</f>
        <v/>
      </c>
    </row>
    <row r="10">
      <c r="A10">
        <f>A9+1</f>
        <v/>
      </c>
      <c r="B10">
        <f>A10/12</f>
        <v/>
      </c>
      <c r="C10" s="17">
        <f>IF($A10&lt;=Dados_Cliente!$B$8*12,C9+Dados_Cliente!$B$7,C9)</f>
        <v/>
      </c>
      <c r="D10" s="17">
        <f>IF($A10&lt;=Dados_Cliente!$B$8*12,D9*(1+Dados_Cliente!$B$24)+Dados_Cliente!$B$7,D9)</f>
        <v/>
      </c>
      <c r="E10" s="17">
        <f>IF($A10&lt;=Dados_Cliente!$B$8*12,E9*(1+Dados_Cliente!$B$27)+Dados_Cliente!$B$7,E9)</f>
        <v/>
      </c>
      <c r="F10" s="17">
        <f>IF($A10&lt;=Dados_Cliente!$B$8*12,F9*(1+Dados_Cliente!$B$28)+Dados_Cliente!$B$7,F9)</f>
        <v/>
      </c>
    </row>
    <row r="11">
      <c r="A11">
        <f>A10+1</f>
        <v/>
      </c>
      <c r="B11">
        <f>A11/12</f>
        <v/>
      </c>
      <c r="C11" s="17">
        <f>IF($A11&lt;=Dados_Cliente!$B$8*12,C10+Dados_Cliente!$B$7,C10)</f>
        <v/>
      </c>
      <c r="D11" s="17">
        <f>IF($A11&lt;=Dados_Cliente!$B$8*12,D10*(1+Dados_Cliente!$B$24)+Dados_Cliente!$B$7,D10)</f>
        <v/>
      </c>
      <c r="E11" s="17">
        <f>IF($A11&lt;=Dados_Cliente!$B$8*12,E10*(1+Dados_Cliente!$B$27)+Dados_Cliente!$B$7,E10)</f>
        <v/>
      </c>
      <c r="F11" s="17">
        <f>IF($A11&lt;=Dados_Cliente!$B$8*12,F10*(1+Dados_Cliente!$B$28)+Dados_Cliente!$B$7,F10)</f>
        <v/>
      </c>
    </row>
    <row r="12">
      <c r="A12">
        <f>A11+1</f>
        <v/>
      </c>
      <c r="B12">
        <f>A12/12</f>
        <v/>
      </c>
      <c r="C12" s="17">
        <f>IF($A12&lt;=Dados_Cliente!$B$8*12,C11+Dados_Cliente!$B$7,C11)</f>
        <v/>
      </c>
      <c r="D12" s="17">
        <f>IF($A12&lt;=Dados_Cliente!$B$8*12,D11*(1+Dados_Cliente!$B$24)+Dados_Cliente!$B$7,D11)</f>
        <v/>
      </c>
      <c r="E12" s="17">
        <f>IF($A12&lt;=Dados_Cliente!$B$8*12,E11*(1+Dados_Cliente!$B$27)+Dados_Cliente!$B$7,E11)</f>
        <v/>
      </c>
      <c r="F12" s="17">
        <f>IF($A12&lt;=Dados_Cliente!$B$8*12,F11*(1+Dados_Cliente!$B$28)+Dados_Cliente!$B$7,F11)</f>
        <v/>
      </c>
    </row>
    <row r="13">
      <c r="A13">
        <f>A12+1</f>
        <v/>
      </c>
      <c r="B13">
        <f>A13/12</f>
        <v/>
      </c>
      <c r="C13" s="17">
        <f>IF($A13&lt;=Dados_Cliente!$B$8*12,C12+Dados_Cliente!$B$7,C12)</f>
        <v/>
      </c>
      <c r="D13" s="17">
        <f>IF($A13&lt;=Dados_Cliente!$B$8*12,D12*(1+Dados_Cliente!$B$24)+Dados_Cliente!$B$7,D12)</f>
        <v/>
      </c>
      <c r="E13" s="17">
        <f>IF($A13&lt;=Dados_Cliente!$B$8*12,E12*(1+Dados_Cliente!$B$27)+Dados_Cliente!$B$7,E12)</f>
        <v/>
      </c>
      <c r="F13" s="17">
        <f>IF($A13&lt;=Dados_Cliente!$B$8*12,F12*(1+Dados_Cliente!$B$28)+Dados_Cliente!$B$7,F12)</f>
        <v/>
      </c>
    </row>
    <row r="14">
      <c r="A14">
        <f>A13+1</f>
        <v/>
      </c>
      <c r="B14">
        <f>A14/12</f>
        <v/>
      </c>
      <c r="C14" s="17">
        <f>IF($A14&lt;=Dados_Cliente!$B$8*12,C13+Dados_Cliente!$B$7,C13)</f>
        <v/>
      </c>
      <c r="D14" s="17">
        <f>IF($A14&lt;=Dados_Cliente!$B$8*12,D13*(1+Dados_Cliente!$B$24)+Dados_Cliente!$B$7,D13)</f>
        <v/>
      </c>
      <c r="E14" s="17">
        <f>IF($A14&lt;=Dados_Cliente!$B$8*12,E13*(1+Dados_Cliente!$B$27)+Dados_Cliente!$B$7,E13)</f>
        <v/>
      </c>
      <c r="F14" s="17">
        <f>IF($A14&lt;=Dados_Cliente!$B$8*12,F13*(1+Dados_Cliente!$B$28)+Dados_Cliente!$B$7,F13)</f>
        <v/>
      </c>
    </row>
    <row r="15">
      <c r="A15">
        <f>A14+1</f>
        <v/>
      </c>
      <c r="B15">
        <f>A15/12</f>
        <v/>
      </c>
      <c r="C15" s="17">
        <f>IF($A15&lt;=Dados_Cliente!$B$8*12,C14+Dados_Cliente!$B$7,C14)</f>
        <v/>
      </c>
      <c r="D15" s="17">
        <f>IF($A15&lt;=Dados_Cliente!$B$8*12,D14*(1+Dados_Cliente!$B$24)+Dados_Cliente!$B$7,D14)</f>
        <v/>
      </c>
      <c r="E15" s="17">
        <f>IF($A15&lt;=Dados_Cliente!$B$8*12,E14*(1+Dados_Cliente!$B$27)+Dados_Cliente!$B$7,E14)</f>
        <v/>
      </c>
      <c r="F15" s="17">
        <f>IF($A15&lt;=Dados_Cliente!$B$8*12,F14*(1+Dados_Cliente!$B$28)+Dados_Cliente!$B$7,F14)</f>
        <v/>
      </c>
    </row>
    <row r="16">
      <c r="A16">
        <f>A15+1</f>
        <v/>
      </c>
      <c r="B16">
        <f>A16/12</f>
        <v/>
      </c>
      <c r="C16" s="17">
        <f>IF($A16&lt;=Dados_Cliente!$B$8*12,C15+Dados_Cliente!$B$7,C15)</f>
        <v/>
      </c>
      <c r="D16" s="17">
        <f>IF($A16&lt;=Dados_Cliente!$B$8*12,D15*(1+Dados_Cliente!$B$24)+Dados_Cliente!$B$7,D15)</f>
        <v/>
      </c>
      <c r="E16" s="17">
        <f>IF($A16&lt;=Dados_Cliente!$B$8*12,E15*(1+Dados_Cliente!$B$27)+Dados_Cliente!$B$7,E15)</f>
        <v/>
      </c>
      <c r="F16" s="17">
        <f>IF($A16&lt;=Dados_Cliente!$B$8*12,F15*(1+Dados_Cliente!$B$28)+Dados_Cliente!$B$7,F15)</f>
        <v/>
      </c>
    </row>
    <row r="17">
      <c r="A17">
        <f>A16+1</f>
        <v/>
      </c>
      <c r="B17">
        <f>A17/12</f>
        <v/>
      </c>
      <c r="C17" s="17">
        <f>IF($A17&lt;=Dados_Cliente!$B$8*12,C16+Dados_Cliente!$B$7,C16)</f>
        <v/>
      </c>
      <c r="D17" s="17">
        <f>IF($A17&lt;=Dados_Cliente!$B$8*12,D16*(1+Dados_Cliente!$B$24)+Dados_Cliente!$B$7,D16)</f>
        <v/>
      </c>
      <c r="E17" s="17">
        <f>IF($A17&lt;=Dados_Cliente!$B$8*12,E16*(1+Dados_Cliente!$B$27)+Dados_Cliente!$B$7,E16)</f>
        <v/>
      </c>
      <c r="F17" s="17">
        <f>IF($A17&lt;=Dados_Cliente!$B$8*12,F16*(1+Dados_Cliente!$B$28)+Dados_Cliente!$B$7,F16)</f>
        <v/>
      </c>
    </row>
    <row r="18">
      <c r="A18">
        <f>A17+1</f>
        <v/>
      </c>
      <c r="B18">
        <f>A18/12</f>
        <v/>
      </c>
      <c r="C18" s="17">
        <f>IF($A18&lt;=Dados_Cliente!$B$8*12,C17+Dados_Cliente!$B$7,C17)</f>
        <v/>
      </c>
      <c r="D18" s="17">
        <f>IF($A18&lt;=Dados_Cliente!$B$8*12,D17*(1+Dados_Cliente!$B$24)+Dados_Cliente!$B$7,D17)</f>
        <v/>
      </c>
      <c r="E18" s="17">
        <f>IF($A18&lt;=Dados_Cliente!$B$8*12,E17*(1+Dados_Cliente!$B$27)+Dados_Cliente!$B$7,E17)</f>
        <v/>
      </c>
      <c r="F18" s="17">
        <f>IF($A18&lt;=Dados_Cliente!$B$8*12,F17*(1+Dados_Cliente!$B$28)+Dados_Cliente!$B$7,F17)</f>
        <v/>
      </c>
    </row>
    <row r="19">
      <c r="A19">
        <f>A18+1</f>
        <v/>
      </c>
      <c r="B19">
        <f>A19/12</f>
        <v/>
      </c>
      <c r="C19" s="17">
        <f>IF($A19&lt;=Dados_Cliente!$B$8*12,C18+Dados_Cliente!$B$7,C18)</f>
        <v/>
      </c>
      <c r="D19" s="17">
        <f>IF($A19&lt;=Dados_Cliente!$B$8*12,D18*(1+Dados_Cliente!$B$24)+Dados_Cliente!$B$7,D18)</f>
        <v/>
      </c>
      <c r="E19" s="17">
        <f>IF($A19&lt;=Dados_Cliente!$B$8*12,E18*(1+Dados_Cliente!$B$27)+Dados_Cliente!$B$7,E18)</f>
        <v/>
      </c>
      <c r="F19" s="17">
        <f>IF($A19&lt;=Dados_Cliente!$B$8*12,F18*(1+Dados_Cliente!$B$28)+Dados_Cliente!$B$7,F18)</f>
        <v/>
      </c>
    </row>
    <row r="20">
      <c r="A20">
        <f>A19+1</f>
        <v/>
      </c>
      <c r="B20">
        <f>A20/12</f>
        <v/>
      </c>
      <c r="C20" s="17">
        <f>IF($A20&lt;=Dados_Cliente!$B$8*12,C19+Dados_Cliente!$B$7,C19)</f>
        <v/>
      </c>
      <c r="D20" s="17">
        <f>IF($A20&lt;=Dados_Cliente!$B$8*12,D19*(1+Dados_Cliente!$B$24)+Dados_Cliente!$B$7,D19)</f>
        <v/>
      </c>
      <c r="E20" s="17">
        <f>IF($A20&lt;=Dados_Cliente!$B$8*12,E19*(1+Dados_Cliente!$B$27)+Dados_Cliente!$B$7,E19)</f>
        <v/>
      </c>
      <c r="F20" s="17">
        <f>IF($A20&lt;=Dados_Cliente!$B$8*12,F19*(1+Dados_Cliente!$B$28)+Dados_Cliente!$B$7,F19)</f>
        <v/>
      </c>
    </row>
    <row r="21">
      <c r="A21">
        <f>A20+1</f>
        <v/>
      </c>
      <c r="B21">
        <f>A21/12</f>
        <v/>
      </c>
      <c r="C21" s="17">
        <f>IF($A21&lt;=Dados_Cliente!$B$8*12,C20+Dados_Cliente!$B$7,C20)</f>
        <v/>
      </c>
      <c r="D21" s="17">
        <f>IF($A21&lt;=Dados_Cliente!$B$8*12,D20*(1+Dados_Cliente!$B$24)+Dados_Cliente!$B$7,D20)</f>
        <v/>
      </c>
      <c r="E21" s="17">
        <f>IF($A21&lt;=Dados_Cliente!$B$8*12,E20*(1+Dados_Cliente!$B$27)+Dados_Cliente!$B$7,E20)</f>
        <v/>
      </c>
      <c r="F21" s="17">
        <f>IF($A21&lt;=Dados_Cliente!$B$8*12,F20*(1+Dados_Cliente!$B$28)+Dados_Cliente!$B$7,F20)</f>
        <v/>
      </c>
    </row>
    <row r="22">
      <c r="A22">
        <f>A21+1</f>
        <v/>
      </c>
      <c r="B22">
        <f>A22/12</f>
        <v/>
      </c>
      <c r="C22" s="17">
        <f>IF($A22&lt;=Dados_Cliente!$B$8*12,C21+Dados_Cliente!$B$7,C21)</f>
        <v/>
      </c>
      <c r="D22" s="17">
        <f>IF($A22&lt;=Dados_Cliente!$B$8*12,D21*(1+Dados_Cliente!$B$24)+Dados_Cliente!$B$7,D21)</f>
        <v/>
      </c>
      <c r="E22" s="17">
        <f>IF($A22&lt;=Dados_Cliente!$B$8*12,E21*(1+Dados_Cliente!$B$27)+Dados_Cliente!$B$7,E21)</f>
        <v/>
      </c>
      <c r="F22" s="17">
        <f>IF($A22&lt;=Dados_Cliente!$B$8*12,F21*(1+Dados_Cliente!$B$28)+Dados_Cliente!$B$7,F21)</f>
        <v/>
      </c>
    </row>
    <row r="23">
      <c r="A23">
        <f>A22+1</f>
        <v/>
      </c>
      <c r="B23">
        <f>A23/12</f>
        <v/>
      </c>
      <c r="C23" s="17">
        <f>IF($A23&lt;=Dados_Cliente!$B$8*12,C22+Dados_Cliente!$B$7,C22)</f>
        <v/>
      </c>
      <c r="D23" s="17">
        <f>IF($A23&lt;=Dados_Cliente!$B$8*12,D22*(1+Dados_Cliente!$B$24)+Dados_Cliente!$B$7,D22)</f>
        <v/>
      </c>
      <c r="E23" s="17">
        <f>IF($A23&lt;=Dados_Cliente!$B$8*12,E22*(1+Dados_Cliente!$B$27)+Dados_Cliente!$B$7,E22)</f>
        <v/>
      </c>
      <c r="F23" s="17">
        <f>IF($A23&lt;=Dados_Cliente!$B$8*12,F22*(1+Dados_Cliente!$B$28)+Dados_Cliente!$B$7,F22)</f>
        <v/>
      </c>
    </row>
    <row r="24">
      <c r="A24">
        <f>A23+1</f>
        <v/>
      </c>
      <c r="B24">
        <f>A24/12</f>
        <v/>
      </c>
      <c r="C24" s="17">
        <f>IF($A24&lt;=Dados_Cliente!$B$8*12,C23+Dados_Cliente!$B$7,C23)</f>
        <v/>
      </c>
      <c r="D24" s="17">
        <f>IF($A24&lt;=Dados_Cliente!$B$8*12,D23*(1+Dados_Cliente!$B$24)+Dados_Cliente!$B$7,D23)</f>
        <v/>
      </c>
      <c r="E24" s="17">
        <f>IF($A24&lt;=Dados_Cliente!$B$8*12,E23*(1+Dados_Cliente!$B$27)+Dados_Cliente!$B$7,E23)</f>
        <v/>
      </c>
      <c r="F24" s="17">
        <f>IF($A24&lt;=Dados_Cliente!$B$8*12,F23*(1+Dados_Cliente!$B$28)+Dados_Cliente!$B$7,F23)</f>
        <v/>
      </c>
    </row>
    <row r="25">
      <c r="A25">
        <f>A24+1</f>
        <v/>
      </c>
      <c r="B25">
        <f>A25/12</f>
        <v/>
      </c>
      <c r="C25" s="17">
        <f>IF($A25&lt;=Dados_Cliente!$B$8*12,C24+Dados_Cliente!$B$7,C24)</f>
        <v/>
      </c>
      <c r="D25" s="17">
        <f>IF($A25&lt;=Dados_Cliente!$B$8*12,D24*(1+Dados_Cliente!$B$24)+Dados_Cliente!$B$7,D24)</f>
        <v/>
      </c>
      <c r="E25" s="17">
        <f>IF($A25&lt;=Dados_Cliente!$B$8*12,E24*(1+Dados_Cliente!$B$27)+Dados_Cliente!$B$7,E24)</f>
        <v/>
      </c>
      <c r="F25" s="17">
        <f>IF($A25&lt;=Dados_Cliente!$B$8*12,F24*(1+Dados_Cliente!$B$28)+Dados_Cliente!$B$7,F24)</f>
        <v/>
      </c>
    </row>
    <row r="26">
      <c r="A26">
        <f>A25+1</f>
        <v/>
      </c>
      <c r="B26">
        <f>A26/12</f>
        <v/>
      </c>
      <c r="C26" s="17">
        <f>IF($A26&lt;=Dados_Cliente!$B$8*12,C25+Dados_Cliente!$B$7,C25)</f>
        <v/>
      </c>
      <c r="D26" s="17">
        <f>IF($A26&lt;=Dados_Cliente!$B$8*12,D25*(1+Dados_Cliente!$B$24)+Dados_Cliente!$B$7,D25)</f>
        <v/>
      </c>
      <c r="E26" s="17">
        <f>IF($A26&lt;=Dados_Cliente!$B$8*12,E25*(1+Dados_Cliente!$B$27)+Dados_Cliente!$B$7,E25)</f>
        <v/>
      </c>
      <c r="F26" s="17">
        <f>IF($A26&lt;=Dados_Cliente!$B$8*12,F25*(1+Dados_Cliente!$B$28)+Dados_Cliente!$B$7,F25)</f>
        <v/>
      </c>
    </row>
    <row r="27">
      <c r="A27">
        <f>A26+1</f>
        <v/>
      </c>
      <c r="B27">
        <f>A27/12</f>
        <v/>
      </c>
      <c r="C27" s="17">
        <f>IF($A27&lt;=Dados_Cliente!$B$8*12,C26+Dados_Cliente!$B$7,C26)</f>
        <v/>
      </c>
      <c r="D27" s="17">
        <f>IF($A27&lt;=Dados_Cliente!$B$8*12,D26*(1+Dados_Cliente!$B$24)+Dados_Cliente!$B$7,D26)</f>
        <v/>
      </c>
      <c r="E27" s="17">
        <f>IF($A27&lt;=Dados_Cliente!$B$8*12,E26*(1+Dados_Cliente!$B$27)+Dados_Cliente!$B$7,E26)</f>
        <v/>
      </c>
      <c r="F27" s="17">
        <f>IF($A27&lt;=Dados_Cliente!$B$8*12,F26*(1+Dados_Cliente!$B$28)+Dados_Cliente!$B$7,F26)</f>
        <v/>
      </c>
    </row>
    <row r="28">
      <c r="A28">
        <f>A27+1</f>
        <v/>
      </c>
      <c r="B28">
        <f>A28/12</f>
        <v/>
      </c>
      <c r="C28" s="17">
        <f>IF($A28&lt;=Dados_Cliente!$B$8*12,C27+Dados_Cliente!$B$7,C27)</f>
        <v/>
      </c>
      <c r="D28" s="17">
        <f>IF($A28&lt;=Dados_Cliente!$B$8*12,D27*(1+Dados_Cliente!$B$24)+Dados_Cliente!$B$7,D27)</f>
        <v/>
      </c>
      <c r="E28" s="17">
        <f>IF($A28&lt;=Dados_Cliente!$B$8*12,E27*(1+Dados_Cliente!$B$27)+Dados_Cliente!$B$7,E27)</f>
        <v/>
      </c>
      <c r="F28" s="17">
        <f>IF($A28&lt;=Dados_Cliente!$B$8*12,F27*(1+Dados_Cliente!$B$28)+Dados_Cliente!$B$7,F27)</f>
        <v/>
      </c>
    </row>
    <row r="29">
      <c r="A29">
        <f>A28+1</f>
        <v/>
      </c>
      <c r="B29">
        <f>A29/12</f>
        <v/>
      </c>
      <c r="C29" s="17">
        <f>IF($A29&lt;=Dados_Cliente!$B$8*12,C28+Dados_Cliente!$B$7,C28)</f>
        <v/>
      </c>
      <c r="D29" s="17">
        <f>IF($A29&lt;=Dados_Cliente!$B$8*12,D28*(1+Dados_Cliente!$B$24)+Dados_Cliente!$B$7,D28)</f>
        <v/>
      </c>
      <c r="E29" s="17">
        <f>IF($A29&lt;=Dados_Cliente!$B$8*12,E28*(1+Dados_Cliente!$B$27)+Dados_Cliente!$B$7,E28)</f>
        <v/>
      </c>
      <c r="F29" s="17">
        <f>IF($A29&lt;=Dados_Cliente!$B$8*12,F28*(1+Dados_Cliente!$B$28)+Dados_Cliente!$B$7,F28)</f>
        <v/>
      </c>
    </row>
    <row r="30">
      <c r="A30">
        <f>A29+1</f>
        <v/>
      </c>
      <c r="B30">
        <f>A30/12</f>
        <v/>
      </c>
      <c r="C30" s="17">
        <f>IF($A30&lt;=Dados_Cliente!$B$8*12,C29+Dados_Cliente!$B$7,C29)</f>
        <v/>
      </c>
      <c r="D30" s="17">
        <f>IF($A30&lt;=Dados_Cliente!$B$8*12,D29*(1+Dados_Cliente!$B$24)+Dados_Cliente!$B$7,D29)</f>
        <v/>
      </c>
      <c r="E30" s="17">
        <f>IF($A30&lt;=Dados_Cliente!$B$8*12,E29*(1+Dados_Cliente!$B$27)+Dados_Cliente!$B$7,E29)</f>
        <v/>
      </c>
      <c r="F30" s="17">
        <f>IF($A30&lt;=Dados_Cliente!$B$8*12,F29*(1+Dados_Cliente!$B$28)+Dados_Cliente!$B$7,F29)</f>
        <v/>
      </c>
    </row>
    <row r="31">
      <c r="A31">
        <f>A30+1</f>
        <v/>
      </c>
      <c r="B31">
        <f>A31/12</f>
        <v/>
      </c>
      <c r="C31" s="17">
        <f>IF($A31&lt;=Dados_Cliente!$B$8*12,C30+Dados_Cliente!$B$7,C30)</f>
        <v/>
      </c>
      <c r="D31" s="17">
        <f>IF($A31&lt;=Dados_Cliente!$B$8*12,D30*(1+Dados_Cliente!$B$24)+Dados_Cliente!$B$7,D30)</f>
        <v/>
      </c>
      <c r="E31" s="17">
        <f>IF($A31&lt;=Dados_Cliente!$B$8*12,E30*(1+Dados_Cliente!$B$27)+Dados_Cliente!$B$7,E30)</f>
        <v/>
      </c>
      <c r="F31" s="17">
        <f>IF($A31&lt;=Dados_Cliente!$B$8*12,F30*(1+Dados_Cliente!$B$28)+Dados_Cliente!$B$7,F30)</f>
        <v/>
      </c>
    </row>
    <row r="32">
      <c r="A32">
        <f>A31+1</f>
        <v/>
      </c>
      <c r="B32">
        <f>A32/12</f>
        <v/>
      </c>
      <c r="C32" s="17">
        <f>IF($A32&lt;=Dados_Cliente!$B$8*12,C31+Dados_Cliente!$B$7,C31)</f>
        <v/>
      </c>
      <c r="D32" s="17">
        <f>IF($A32&lt;=Dados_Cliente!$B$8*12,D31*(1+Dados_Cliente!$B$24)+Dados_Cliente!$B$7,D31)</f>
        <v/>
      </c>
      <c r="E32" s="17">
        <f>IF($A32&lt;=Dados_Cliente!$B$8*12,E31*(1+Dados_Cliente!$B$27)+Dados_Cliente!$B$7,E31)</f>
        <v/>
      </c>
      <c r="F32" s="17">
        <f>IF($A32&lt;=Dados_Cliente!$B$8*12,F31*(1+Dados_Cliente!$B$28)+Dados_Cliente!$B$7,F31)</f>
        <v/>
      </c>
    </row>
    <row r="33">
      <c r="A33">
        <f>A32+1</f>
        <v/>
      </c>
      <c r="B33">
        <f>A33/12</f>
        <v/>
      </c>
      <c r="C33" s="17">
        <f>IF($A33&lt;=Dados_Cliente!$B$8*12,C32+Dados_Cliente!$B$7,C32)</f>
        <v/>
      </c>
      <c r="D33" s="17">
        <f>IF($A33&lt;=Dados_Cliente!$B$8*12,D32*(1+Dados_Cliente!$B$24)+Dados_Cliente!$B$7,D32)</f>
        <v/>
      </c>
      <c r="E33" s="17">
        <f>IF($A33&lt;=Dados_Cliente!$B$8*12,E32*(1+Dados_Cliente!$B$27)+Dados_Cliente!$B$7,E32)</f>
        <v/>
      </c>
      <c r="F33" s="17">
        <f>IF($A33&lt;=Dados_Cliente!$B$8*12,F32*(1+Dados_Cliente!$B$28)+Dados_Cliente!$B$7,F32)</f>
        <v/>
      </c>
    </row>
    <row r="34">
      <c r="A34">
        <f>A33+1</f>
        <v/>
      </c>
      <c r="B34">
        <f>A34/12</f>
        <v/>
      </c>
      <c r="C34" s="17">
        <f>IF($A34&lt;=Dados_Cliente!$B$8*12,C33+Dados_Cliente!$B$7,C33)</f>
        <v/>
      </c>
      <c r="D34" s="17">
        <f>IF($A34&lt;=Dados_Cliente!$B$8*12,D33*(1+Dados_Cliente!$B$24)+Dados_Cliente!$B$7,D33)</f>
        <v/>
      </c>
      <c r="E34" s="17">
        <f>IF($A34&lt;=Dados_Cliente!$B$8*12,E33*(1+Dados_Cliente!$B$27)+Dados_Cliente!$B$7,E33)</f>
        <v/>
      </c>
      <c r="F34" s="17">
        <f>IF($A34&lt;=Dados_Cliente!$B$8*12,F33*(1+Dados_Cliente!$B$28)+Dados_Cliente!$B$7,F33)</f>
        <v/>
      </c>
    </row>
    <row r="35">
      <c r="A35">
        <f>A34+1</f>
        <v/>
      </c>
      <c r="B35">
        <f>A35/12</f>
        <v/>
      </c>
      <c r="C35" s="17">
        <f>IF($A35&lt;=Dados_Cliente!$B$8*12,C34+Dados_Cliente!$B$7,C34)</f>
        <v/>
      </c>
      <c r="D35" s="17">
        <f>IF($A35&lt;=Dados_Cliente!$B$8*12,D34*(1+Dados_Cliente!$B$24)+Dados_Cliente!$B$7,D34)</f>
        <v/>
      </c>
      <c r="E35" s="17">
        <f>IF($A35&lt;=Dados_Cliente!$B$8*12,E34*(1+Dados_Cliente!$B$27)+Dados_Cliente!$B$7,E34)</f>
        <v/>
      </c>
      <c r="F35" s="17">
        <f>IF($A35&lt;=Dados_Cliente!$B$8*12,F34*(1+Dados_Cliente!$B$28)+Dados_Cliente!$B$7,F34)</f>
        <v/>
      </c>
    </row>
    <row r="36">
      <c r="A36">
        <f>A35+1</f>
        <v/>
      </c>
      <c r="B36">
        <f>A36/12</f>
        <v/>
      </c>
      <c r="C36" s="17">
        <f>IF($A36&lt;=Dados_Cliente!$B$8*12,C35+Dados_Cliente!$B$7,C35)</f>
        <v/>
      </c>
      <c r="D36" s="17">
        <f>IF($A36&lt;=Dados_Cliente!$B$8*12,D35*(1+Dados_Cliente!$B$24)+Dados_Cliente!$B$7,D35)</f>
        <v/>
      </c>
      <c r="E36" s="17">
        <f>IF($A36&lt;=Dados_Cliente!$B$8*12,E35*(1+Dados_Cliente!$B$27)+Dados_Cliente!$B$7,E35)</f>
        <v/>
      </c>
      <c r="F36" s="17">
        <f>IF($A36&lt;=Dados_Cliente!$B$8*12,F35*(1+Dados_Cliente!$B$28)+Dados_Cliente!$B$7,F35)</f>
        <v/>
      </c>
    </row>
    <row r="37">
      <c r="A37">
        <f>A36+1</f>
        <v/>
      </c>
      <c r="B37">
        <f>A37/12</f>
        <v/>
      </c>
      <c r="C37" s="17">
        <f>IF($A37&lt;=Dados_Cliente!$B$8*12,C36+Dados_Cliente!$B$7,C36)</f>
        <v/>
      </c>
      <c r="D37" s="17">
        <f>IF($A37&lt;=Dados_Cliente!$B$8*12,D36*(1+Dados_Cliente!$B$24)+Dados_Cliente!$B$7,D36)</f>
        <v/>
      </c>
      <c r="E37" s="17">
        <f>IF($A37&lt;=Dados_Cliente!$B$8*12,E36*(1+Dados_Cliente!$B$27)+Dados_Cliente!$B$7,E36)</f>
        <v/>
      </c>
      <c r="F37" s="17">
        <f>IF($A37&lt;=Dados_Cliente!$B$8*12,F36*(1+Dados_Cliente!$B$28)+Dados_Cliente!$B$7,F36)</f>
        <v/>
      </c>
    </row>
    <row r="38">
      <c r="A38">
        <f>A37+1</f>
        <v/>
      </c>
      <c r="B38">
        <f>A38/12</f>
        <v/>
      </c>
      <c r="C38" s="17">
        <f>IF($A38&lt;=Dados_Cliente!$B$8*12,C37+Dados_Cliente!$B$7,C37)</f>
        <v/>
      </c>
      <c r="D38" s="17">
        <f>IF($A38&lt;=Dados_Cliente!$B$8*12,D37*(1+Dados_Cliente!$B$24)+Dados_Cliente!$B$7,D37)</f>
        <v/>
      </c>
      <c r="E38" s="17">
        <f>IF($A38&lt;=Dados_Cliente!$B$8*12,E37*(1+Dados_Cliente!$B$27)+Dados_Cliente!$B$7,E37)</f>
        <v/>
      </c>
      <c r="F38" s="17">
        <f>IF($A38&lt;=Dados_Cliente!$B$8*12,F37*(1+Dados_Cliente!$B$28)+Dados_Cliente!$B$7,F37)</f>
        <v/>
      </c>
    </row>
    <row r="39">
      <c r="A39">
        <f>A38+1</f>
        <v/>
      </c>
      <c r="B39">
        <f>A39/12</f>
        <v/>
      </c>
      <c r="C39" s="17">
        <f>IF($A39&lt;=Dados_Cliente!$B$8*12,C38+Dados_Cliente!$B$7,C38)</f>
        <v/>
      </c>
      <c r="D39" s="17">
        <f>IF($A39&lt;=Dados_Cliente!$B$8*12,D38*(1+Dados_Cliente!$B$24)+Dados_Cliente!$B$7,D38)</f>
        <v/>
      </c>
      <c r="E39" s="17">
        <f>IF($A39&lt;=Dados_Cliente!$B$8*12,E38*(1+Dados_Cliente!$B$27)+Dados_Cliente!$B$7,E38)</f>
        <v/>
      </c>
      <c r="F39" s="17">
        <f>IF($A39&lt;=Dados_Cliente!$B$8*12,F38*(1+Dados_Cliente!$B$28)+Dados_Cliente!$B$7,F38)</f>
        <v/>
      </c>
    </row>
    <row r="40">
      <c r="A40">
        <f>A39+1</f>
        <v/>
      </c>
      <c r="B40">
        <f>A40/12</f>
        <v/>
      </c>
      <c r="C40" s="17">
        <f>IF($A40&lt;=Dados_Cliente!$B$8*12,C39+Dados_Cliente!$B$7,C39)</f>
        <v/>
      </c>
      <c r="D40" s="17">
        <f>IF($A40&lt;=Dados_Cliente!$B$8*12,D39*(1+Dados_Cliente!$B$24)+Dados_Cliente!$B$7,D39)</f>
        <v/>
      </c>
      <c r="E40" s="17">
        <f>IF($A40&lt;=Dados_Cliente!$B$8*12,E39*(1+Dados_Cliente!$B$27)+Dados_Cliente!$B$7,E39)</f>
        <v/>
      </c>
      <c r="F40" s="17">
        <f>IF($A40&lt;=Dados_Cliente!$B$8*12,F39*(1+Dados_Cliente!$B$28)+Dados_Cliente!$B$7,F39)</f>
        <v/>
      </c>
    </row>
    <row r="41">
      <c r="A41">
        <f>A40+1</f>
        <v/>
      </c>
      <c r="B41">
        <f>A41/12</f>
        <v/>
      </c>
      <c r="C41" s="17">
        <f>IF($A41&lt;=Dados_Cliente!$B$8*12,C40+Dados_Cliente!$B$7,C40)</f>
        <v/>
      </c>
      <c r="D41" s="17">
        <f>IF($A41&lt;=Dados_Cliente!$B$8*12,D40*(1+Dados_Cliente!$B$24)+Dados_Cliente!$B$7,D40)</f>
        <v/>
      </c>
      <c r="E41" s="17">
        <f>IF($A41&lt;=Dados_Cliente!$B$8*12,E40*(1+Dados_Cliente!$B$27)+Dados_Cliente!$B$7,E40)</f>
        <v/>
      </c>
      <c r="F41" s="17">
        <f>IF($A41&lt;=Dados_Cliente!$B$8*12,F40*(1+Dados_Cliente!$B$28)+Dados_Cliente!$B$7,F40)</f>
        <v/>
      </c>
    </row>
    <row r="42">
      <c r="A42">
        <f>A41+1</f>
        <v/>
      </c>
      <c r="B42">
        <f>A42/12</f>
        <v/>
      </c>
      <c r="C42" s="17">
        <f>IF($A42&lt;=Dados_Cliente!$B$8*12,C41+Dados_Cliente!$B$7,C41)</f>
        <v/>
      </c>
      <c r="D42" s="17">
        <f>IF($A42&lt;=Dados_Cliente!$B$8*12,D41*(1+Dados_Cliente!$B$24)+Dados_Cliente!$B$7,D41)</f>
        <v/>
      </c>
      <c r="E42" s="17">
        <f>IF($A42&lt;=Dados_Cliente!$B$8*12,E41*(1+Dados_Cliente!$B$27)+Dados_Cliente!$B$7,E41)</f>
        <v/>
      </c>
      <c r="F42" s="17">
        <f>IF($A42&lt;=Dados_Cliente!$B$8*12,F41*(1+Dados_Cliente!$B$28)+Dados_Cliente!$B$7,F41)</f>
        <v/>
      </c>
    </row>
    <row r="43">
      <c r="A43">
        <f>A42+1</f>
        <v/>
      </c>
      <c r="B43">
        <f>A43/12</f>
        <v/>
      </c>
      <c r="C43" s="17">
        <f>IF($A43&lt;=Dados_Cliente!$B$8*12,C42+Dados_Cliente!$B$7,C42)</f>
        <v/>
      </c>
      <c r="D43" s="17">
        <f>IF($A43&lt;=Dados_Cliente!$B$8*12,D42*(1+Dados_Cliente!$B$24)+Dados_Cliente!$B$7,D42)</f>
        <v/>
      </c>
      <c r="E43" s="17">
        <f>IF($A43&lt;=Dados_Cliente!$B$8*12,E42*(1+Dados_Cliente!$B$27)+Dados_Cliente!$B$7,E42)</f>
        <v/>
      </c>
      <c r="F43" s="17">
        <f>IF($A43&lt;=Dados_Cliente!$B$8*12,F42*(1+Dados_Cliente!$B$28)+Dados_Cliente!$B$7,F42)</f>
        <v/>
      </c>
    </row>
    <row r="44">
      <c r="A44">
        <f>A43+1</f>
        <v/>
      </c>
      <c r="B44">
        <f>A44/12</f>
        <v/>
      </c>
      <c r="C44" s="17">
        <f>IF($A44&lt;=Dados_Cliente!$B$8*12,C43+Dados_Cliente!$B$7,C43)</f>
        <v/>
      </c>
      <c r="D44" s="17">
        <f>IF($A44&lt;=Dados_Cliente!$B$8*12,D43*(1+Dados_Cliente!$B$24)+Dados_Cliente!$B$7,D43)</f>
        <v/>
      </c>
      <c r="E44" s="17">
        <f>IF($A44&lt;=Dados_Cliente!$B$8*12,E43*(1+Dados_Cliente!$B$27)+Dados_Cliente!$B$7,E43)</f>
        <v/>
      </c>
      <c r="F44" s="17">
        <f>IF($A44&lt;=Dados_Cliente!$B$8*12,F43*(1+Dados_Cliente!$B$28)+Dados_Cliente!$B$7,F43)</f>
        <v/>
      </c>
    </row>
    <row r="45">
      <c r="A45">
        <f>A44+1</f>
        <v/>
      </c>
      <c r="B45">
        <f>A45/12</f>
        <v/>
      </c>
      <c r="C45" s="17">
        <f>IF($A45&lt;=Dados_Cliente!$B$8*12,C44+Dados_Cliente!$B$7,C44)</f>
        <v/>
      </c>
      <c r="D45" s="17">
        <f>IF($A45&lt;=Dados_Cliente!$B$8*12,D44*(1+Dados_Cliente!$B$24)+Dados_Cliente!$B$7,D44)</f>
        <v/>
      </c>
      <c r="E45" s="17">
        <f>IF($A45&lt;=Dados_Cliente!$B$8*12,E44*(1+Dados_Cliente!$B$27)+Dados_Cliente!$B$7,E44)</f>
        <v/>
      </c>
      <c r="F45" s="17">
        <f>IF($A45&lt;=Dados_Cliente!$B$8*12,F44*(1+Dados_Cliente!$B$28)+Dados_Cliente!$B$7,F44)</f>
        <v/>
      </c>
    </row>
    <row r="46">
      <c r="A46">
        <f>A45+1</f>
        <v/>
      </c>
      <c r="B46">
        <f>A46/12</f>
        <v/>
      </c>
      <c r="C46" s="17">
        <f>IF($A46&lt;=Dados_Cliente!$B$8*12,C45+Dados_Cliente!$B$7,C45)</f>
        <v/>
      </c>
      <c r="D46" s="17">
        <f>IF($A46&lt;=Dados_Cliente!$B$8*12,D45*(1+Dados_Cliente!$B$24)+Dados_Cliente!$B$7,D45)</f>
        <v/>
      </c>
      <c r="E46" s="17">
        <f>IF($A46&lt;=Dados_Cliente!$B$8*12,E45*(1+Dados_Cliente!$B$27)+Dados_Cliente!$B$7,E45)</f>
        <v/>
      </c>
      <c r="F46" s="17">
        <f>IF($A46&lt;=Dados_Cliente!$B$8*12,F45*(1+Dados_Cliente!$B$28)+Dados_Cliente!$B$7,F45)</f>
        <v/>
      </c>
    </row>
    <row r="47">
      <c r="A47">
        <f>A46+1</f>
        <v/>
      </c>
      <c r="B47">
        <f>A47/12</f>
        <v/>
      </c>
      <c r="C47" s="17">
        <f>IF($A47&lt;=Dados_Cliente!$B$8*12,C46+Dados_Cliente!$B$7,C46)</f>
        <v/>
      </c>
      <c r="D47" s="17">
        <f>IF($A47&lt;=Dados_Cliente!$B$8*12,D46*(1+Dados_Cliente!$B$24)+Dados_Cliente!$B$7,D46)</f>
        <v/>
      </c>
      <c r="E47" s="17">
        <f>IF($A47&lt;=Dados_Cliente!$B$8*12,E46*(1+Dados_Cliente!$B$27)+Dados_Cliente!$B$7,E46)</f>
        <v/>
      </c>
      <c r="F47" s="17">
        <f>IF($A47&lt;=Dados_Cliente!$B$8*12,F46*(1+Dados_Cliente!$B$28)+Dados_Cliente!$B$7,F46)</f>
        <v/>
      </c>
    </row>
    <row r="48">
      <c r="A48">
        <f>A47+1</f>
        <v/>
      </c>
      <c r="B48">
        <f>A48/12</f>
        <v/>
      </c>
      <c r="C48" s="17">
        <f>IF($A48&lt;=Dados_Cliente!$B$8*12,C47+Dados_Cliente!$B$7,C47)</f>
        <v/>
      </c>
      <c r="D48" s="17">
        <f>IF($A48&lt;=Dados_Cliente!$B$8*12,D47*(1+Dados_Cliente!$B$24)+Dados_Cliente!$B$7,D47)</f>
        <v/>
      </c>
      <c r="E48" s="17">
        <f>IF($A48&lt;=Dados_Cliente!$B$8*12,E47*(1+Dados_Cliente!$B$27)+Dados_Cliente!$B$7,E47)</f>
        <v/>
      </c>
      <c r="F48" s="17">
        <f>IF($A48&lt;=Dados_Cliente!$B$8*12,F47*(1+Dados_Cliente!$B$28)+Dados_Cliente!$B$7,F47)</f>
        <v/>
      </c>
    </row>
    <row r="49">
      <c r="A49">
        <f>A48+1</f>
        <v/>
      </c>
      <c r="B49">
        <f>A49/12</f>
        <v/>
      </c>
      <c r="C49" s="17">
        <f>IF($A49&lt;=Dados_Cliente!$B$8*12,C48+Dados_Cliente!$B$7,C48)</f>
        <v/>
      </c>
      <c r="D49" s="17">
        <f>IF($A49&lt;=Dados_Cliente!$B$8*12,D48*(1+Dados_Cliente!$B$24)+Dados_Cliente!$B$7,D48)</f>
        <v/>
      </c>
      <c r="E49" s="17">
        <f>IF($A49&lt;=Dados_Cliente!$B$8*12,E48*(1+Dados_Cliente!$B$27)+Dados_Cliente!$B$7,E48)</f>
        <v/>
      </c>
      <c r="F49" s="17">
        <f>IF($A49&lt;=Dados_Cliente!$B$8*12,F48*(1+Dados_Cliente!$B$28)+Dados_Cliente!$B$7,F48)</f>
        <v/>
      </c>
    </row>
    <row r="50">
      <c r="A50">
        <f>A49+1</f>
        <v/>
      </c>
      <c r="B50">
        <f>A50/12</f>
        <v/>
      </c>
      <c r="C50" s="17">
        <f>IF($A50&lt;=Dados_Cliente!$B$8*12,C49+Dados_Cliente!$B$7,C49)</f>
        <v/>
      </c>
      <c r="D50" s="17">
        <f>IF($A50&lt;=Dados_Cliente!$B$8*12,D49*(1+Dados_Cliente!$B$24)+Dados_Cliente!$B$7,D49)</f>
        <v/>
      </c>
      <c r="E50" s="17">
        <f>IF($A50&lt;=Dados_Cliente!$B$8*12,E49*(1+Dados_Cliente!$B$27)+Dados_Cliente!$B$7,E49)</f>
        <v/>
      </c>
      <c r="F50" s="17">
        <f>IF($A50&lt;=Dados_Cliente!$B$8*12,F49*(1+Dados_Cliente!$B$28)+Dados_Cliente!$B$7,F49)</f>
        <v/>
      </c>
    </row>
    <row r="51">
      <c r="A51">
        <f>A50+1</f>
        <v/>
      </c>
      <c r="B51">
        <f>A51/12</f>
        <v/>
      </c>
      <c r="C51" s="17">
        <f>IF($A51&lt;=Dados_Cliente!$B$8*12,C50+Dados_Cliente!$B$7,C50)</f>
        <v/>
      </c>
      <c r="D51" s="17">
        <f>IF($A51&lt;=Dados_Cliente!$B$8*12,D50*(1+Dados_Cliente!$B$24)+Dados_Cliente!$B$7,D50)</f>
        <v/>
      </c>
      <c r="E51" s="17">
        <f>IF($A51&lt;=Dados_Cliente!$B$8*12,E50*(1+Dados_Cliente!$B$27)+Dados_Cliente!$B$7,E50)</f>
        <v/>
      </c>
      <c r="F51" s="17">
        <f>IF($A51&lt;=Dados_Cliente!$B$8*12,F50*(1+Dados_Cliente!$B$28)+Dados_Cliente!$B$7,F50)</f>
        <v/>
      </c>
    </row>
    <row r="52">
      <c r="A52">
        <f>A51+1</f>
        <v/>
      </c>
      <c r="B52">
        <f>A52/12</f>
        <v/>
      </c>
      <c r="C52" s="17">
        <f>IF($A52&lt;=Dados_Cliente!$B$8*12,C51+Dados_Cliente!$B$7,C51)</f>
        <v/>
      </c>
      <c r="D52" s="17">
        <f>IF($A52&lt;=Dados_Cliente!$B$8*12,D51*(1+Dados_Cliente!$B$24)+Dados_Cliente!$B$7,D51)</f>
        <v/>
      </c>
      <c r="E52" s="17">
        <f>IF($A52&lt;=Dados_Cliente!$B$8*12,E51*(1+Dados_Cliente!$B$27)+Dados_Cliente!$B$7,E51)</f>
        <v/>
      </c>
      <c r="F52" s="17">
        <f>IF($A52&lt;=Dados_Cliente!$B$8*12,F51*(1+Dados_Cliente!$B$28)+Dados_Cliente!$B$7,F51)</f>
        <v/>
      </c>
    </row>
    <row r="53">
      <c r="A53">
        <f>A52+1</f>
        <v/>
      </c>
      <c r="B53">
        <f>A53/12</f>
        <v/>
      </c>
      <c r="C53" s="17">
        <f>IF($A53&lt;=Dados_Cliente!$B$8*12,C52+Dados_Cliente!$B$7,C52)</f>
        <v/>
      </c>
      <c r="D53" s="17">
        <f>IF($A53&lt;=Dados_Cliente!$B$8*12,D52*(1+Dados_Cliente!$B$24)+Dados_Cliente!$B$7,D52)</f>
        <v/>
      </c>
      <c r="E53" s="17">
        <f>IF($A53&lt;=Dados_Cliente!$B$8*12,E52*(1+Dados_Cliente!$B$27)+Dados_Cliente!$B$7,E52)</f>
        <v/>
      </c>
      <c r="F53" s="17">
        <f>IF($A53&lt;=Dados_Cliente!$B$8*12,F52*(1+Dados_Cliente!$B$28)+Dados_Cliente!$B$7,F52)</f>
        <v/>
      </c>
    </row>
    <row r="54">
      <c r="A54">
        <f>A53+1</f>
        <v/>
      </c>
      <c r="B54">
        <f>A54/12</f>
        <v/>
      </c>
      <c r="C54" s="17">
        <f>IF($A54&lt;=Dados_Cliente!$B$8*12,C53+Dados_Cliente!$B$7,C53)</f>
        <v/>
      </c>
      <c r="D54" s="17">
        <f>IF($A54&lt;=Dados_Cliente!$B$8*12,D53*(1+Dados_Cliente!$B$24)+Dados_Cliente!$B$7,D53)</f>
        <v/>
      </c>
      <c r="E54" s="17">
        <f>IF($A54&lt;=Dados_Cliente!$B$8*12,E53*(1+Dados_Cliente!$B$27)+Dados_Cliente!$B$7,E53)</f>
        <v/>
      </c>
      <c r="F54" s="17">
        <f>IF($A54&lt;=Dados_Cliente!$B$8*12,F53*(1+Dados_Cliente!$B$28)+Dados_Cliente!$B$7,F53)</f>
        <v/>
      </c>
    </row>
    <row r="55">
      <c r="A55">
        <f>A54+1</f>
        <v/>
      </c>
      <c r="B55">
        <f>A55/12</f>
        <v/>
      </c>
      <c r="C55" s="17">
        <f>IF($A55&lt;=Dados_Cliente!$B$8*12,C54+Dados_Cliente!$B$7,C54)</f>
        <v/>
      </c>
      <c r="D55" s="17">
        <f>IF($A55&lt;=Dados_Cliente!$B$8*12,D54*(1+Dados_Cliente!$B$24)+Dados_Cliente!$B$7,D54)</f>
        <v/>
      </c>
      <c r="E55" s="17">
        <f>IF($A55&lt;=Dados_Cliente!$B$8*12,E54*(1+Dados_Cliente!$B$27)+Dados_Cliente!$B$7,E54)</f>
        <v/>
      </c>
      <c r="F55" s="17">
        <f>IF($A55&lt;=Dados_Cliente!$B$8*12,F54*(1+Dados_Cliente!$B$28)+Dados_Cliente!$B$7,F54)</f>
        <v/>
      </c>
    </row>
    <row r="56">
      <c r="A56">
        <f>A55+1</f>
        <v/>
      </c>
      <c r="B56">
        <f>A56/12</f>
        <v/>
      </c>
      <c r="C56" s="17">
        <f>IF($A56&lt;=Dados_Cliente!$B$8*12,C55+Dados_Cliente!$B$7,C55)</f>
        <v/>
      </c>
      <c r="D56" s="17">
        <f>IF($A56&lt;=Dados_Cliente!$B$8*12,D55*(1+Dados_Cliente!$B$24)+Dados_Cliente!$B$7,D55)</f>
        <v/>
      </c>
      <c r="E56" s="17">
        <f>IF($A56&lt;=Dados_Cliente!$B$8*12,E55*(1+Dados_Cliente!$B$27)+Dados_Cliente!$B$7,E55)</f>
        <v/>
      </c>
      <c r="F56" s="17">
        <f>IF($A56&lt;=Dados_Cliente!$B$8*12,F55*(1+Dados_Cliente!$B$28)+Dados_Cliente!$B$7,F55)</f>
        <v/>
      </c>
    </row>
    <row r="57">
      <c r="A57">
        <f>A56+1</f>
        <v/>
      </c>
      <c r="B57">
        <f>A57/12</f>
        <v/>
      </c>
      <c r="C57" s="17">
        <f>IF($A57&lt;=Dados_Cliente!$B$8*12,C56+Dados_Cliente!$B$7,C56)</f>
        <v/>
      </c>
      <c r="D57" s="17">
        <f>IF($A57&lt;=Dados_Cliente!$B$8*12,D56*(1+Dados_Cliente!$B$24)+Dados_Cliente!$B$7,D56)</f>
        <v/>
      </c>
      <c r="E57" s="17">
        <f>IF($A57&lt;=Dados_Cliente!$B$8*12,E56*(1+Dados_Cliente!$B$27)+Dados_Cliente!$B$7,E56)</f>
        <v/>
      </c>
      <c r="F57" s="17">
        <f>IF($A57&lt;=Dados_Cliente!$B$8*12,F56*(1+Dados_Cliente!$B$28)+Dados_Cliente!$B$7,F56)</f>
        <v/>
      </c>
    </row>
    <row r="58">
      <c r="A58">
        <f>A57+1</f>
        <v/>
      </c>
      <c r="B58">
        <f>A58/12</f>
        <v/>
      </c>
      <c r="C58" s="17">
        <f>IF($A58&lt;=Dados_Cliente!$B$8*12,C57+Dados_Cliente!$B$7,C57)</f>
        <v/>
      </c>
      <c r="D58" s="17">
        <f>IF($A58&lt;=Dados_Cliente!$B$8*12,D57*(1+Dados_Cliente!$B$24)+Dados_Cliente!$B$7,D57)</f>
        <v/>
      </c>
      <c r="E58" s="17">
        <f>IF($A58&lt;=Dados_Cliente!$B$8*12,E57*(1+Dados_Cliente!$B$27)+Dados_Cliente!$B$7,E57)</f>
        <v/>
      </c>
      <c r="F58" s="17">
        <f>IF($A58&lt;=Dados_Cliente!$B$8*12,F57*(1+Dados_Cliente!$B$28)+Dados_Cliente!$B$7,F57)</f>
        <v/>
      </c>
    </row>
    <row r="59">
      <c r="A59">
        <f>A58+1</f>
        <v/>
      </c>
      <c r="B59">
        <f>A59/12</f>
        <v/>
      </c>
      <c r="C59" s="17">
        <f>IF($A59&lt;=Dados_Cliente!$B$8*12,C58+Dados_Cliente!$B$7,C58)</f>
        <v/>
      </c>
      <c r="D59" s="17">
        <f>IF($A59&lt;=Dados_Cliente!$B$8*12,D58*(1+Dados_Cliente!$B$24)+Dados_Cliente!$B$7,D58)</f>
        <v/>
      </c>
      <c r="E59" s="17">
        <f>IF($A59&lt;=Dados_Cliente!$B$8*12,E58*(1+Dados_Cliente!$B$27)+Dados_Cliente!$B$7,E58)</f>
        <v/>
      </c>
      <c r="F59" s="17">
        <f>IF($A59&lt;=Dados_Cliente!$B$8*12,F58*(1+Dados_Cliente!$B$28)+Dados_Cliente!$B$7,F58)</f>
        <v/>
      </c>
    </row>
    <row r="60">
      <c r="A60">
        <f>A59+1</f>
        <v/>
      </c>
      <c r="B60">
        <f>A60/12</f>
        <v/>
      </c>
      <c r="C60" s="17">
        <f>IF($A60&lt;=Dados_Cliente!$B$8*12,C59+Dados_Cliente!$B$7,C59)</f>
        <v/>
      </c>
      <c r="D60" s="17">
        <f>IF($A60&lt;=Dados_Cliente!$B$8*12,D59*(1+Dados_Cliente!$B$24)+Dados_Cliente!$B$7,D59)</f>
        <v/>
      </c>
      <c r="E60" s="17">
        <f>IF($A60&lt;=Dados_Cliente!$B$8*12,E59*(1+Dados_Cliente!$B$27)+Dados_Cliente!$B$7,E59)</f>
        <v/>
      </c>
      <c r="F60" s="17">
        <f>IF($A60&lt;=Dados_Cliente!$B$8*12,F59*(1+Dados_Cliente!$B$28)+Dados_Cliente!$B$7,F59)</f>
        <v/>
      </c>
    </row>
    <row r="61">
      <c r="A61">
        <f>A60+1</f>
        <v/>
      </c>
      <c r="B61">
        <f>A61/12</f>
        <v/>
      </c>
      <c r="C61" s="17">
        <f>IF($A61&lt;=Dados_Cliente!$B$8*12,C60+Dados_Cliente!$B$7,C60)</f>
        <v/>
      </c>
      <c r="D61" s="17">
        <f>IF($A61&lt;=Dados_Cliente!$B$8*12,D60*(1+Dados_Cliente!$B$24)+Dados_Cliente!$B$7,D60)</f>
        <v/>
      </c>
      <c r="E61" s="17">
        <f>IF($A61&lt;=Dados_Cliente!$B$8*12,E60*(1+Dados_Cliente!$B$27)+Dados_Cliente!$B$7,E60)</f>
        <v/>
      </c>
      <c r="F61" s="17">
        <f>IF($A61&lt;=Dados_Cliente!$B$8*12,F60*(1+Dados_Cliente!$B$28)+Dados_Cliente!$B$7,F60)</f>
        <v/>
      </c>
    </row>
    <row r="62">
      <c r="A62">
        <f>A61+1</f>
        <v/>
      </c>
      <c r="B62">
        <f>A62/12</f>
        <v/>
      </c>
      <c r="C62" s="17">
        <f>IF($A62&lt;=Dados_Cliente!$B$8*12,C61+Dados_Cliente!$B$7,C61)</f>
        <v/>
      </c>
      <c r="D62" s="17">
        <f>IF($A62&lt;=Dados_Cliente!$B$8*12,D61*(1+Dados_Cliente!$B$24)+Dados_Cliente!$B$7,D61)</f>
        <v/>
      </c>
      <c r="E62" s="17">
        <f>IF($A62&lt;=Dados_Cliente!$B$8*12,E61*(1+Dados_Cliente!$B$27)+Dados_Cliente!$B$7,E61)</f>
        <v/>
      </c>
      <c r="F62" s="17">
        <f>IF($A62&lt;=Dados_Cliente!$B$8*12,F61*(1+Dados_Cliente!$B$28)+Dados_Cliente!$B$7,F61)</f>
        <v/>
      </c>
    </row>
    <row r="63">
      <c r="A63">
        <f>A62+1</f>
        <v/>
      </c>
      <c r="B63">
        <f>A63/12</f>
        <v/>
      </c>
      <c r="C63" s="17">
        <f>IF($A63&lt;=Dados_Cliente!$B$8*12,C62+Dados_Cliente!$B$7,C62)</f>
        <v/>
      </c>
      <c r="D63" s="17">
        <f>IF($A63&lt;=Dados_Cliente!$B$8*12,D62*(1+Dados_Cliente!$B$24)+Dados_Cliente!$B$7,D62)</f>
        <v/>
      </c>
      <c r="E63" s="17">
        <f>IF($A63&lt;=Dados_Cliente!$B$8*12,E62*(1+Dados_Cliente!$B$27)+Dados_Cliente!$B$7,E62)</f>
        <v/>
      </c>
      <c r="F63" s="17">
        <f>IF($A63&lt;=Dados_Cliente!$B$8*12,F62*(1+Dados_Cliente!$B$28)+Dados_Cliente!$B$7,F62)</f>
        <v/>
      </c>
    </row>
    <row r="64">
      <c r="A64">
        <f>A63+1</f>
        <v/>
      </c>
      <c r="B64">
        <f>A64/12</f>
        <v/>
      </c>
      <c r="C64" s="17">
        <f>IF($A64&lt;=Dados_Cliente!$B$8*12,C63+Dados_Cliente!$B$7,C63)</f>
        <v/>
      </c>
      <c r="D64" s="17">
        <f>IF($A64&lt;=Dados_Cliente!$B$8*12,D63*(1+Dados_Cliente!$B$24)+Dados_Cliente!$B$7,D63)</f>
        <v/>
      </c>
      <c r="E64" s="17">
        <f>IF($A64&lt;=Dados_Cliente!$B$8*12,E63*(1+Dados_Cliente!$B$27)+Dados_Cliente!$B$7,E63)</f>
        <v/>
      </c>
      <c r="F64" s="17">
        <f>IF($A64&lt;=Dados_Cliente!$B$8*12,F63*(1+Dados_Cliente!$B$28)+Dados_Cliente!$B$7,F63)</f>
        <v/>
      </c>
    </row>
    <row r="65">
      <c r="A65">
        <f>A64+1</f>
        <v/>
      </c>
      <c r="B65">
        <f>A65/12</f>
        <v/>
      </c>
      <c r="C65" s="17">
        <f>IF($A65&lt;=Dados_Cliente!$B$8*12,C64+Dados_Cliente!$B$7,C64)</f>
        <v/>
      </c>
      <c r="D65" s="17">
        <f>IF($A65&lt;=Dados_Cliente!$B$8*12,D64*(1+Dados_Cliente!$B$24)+Dados_Cliente!$B$7,D64)</f>
        <v/>
      </c>
      <c r="E65" s="17">
        <f>IF($A65&lt;=Dados_Cliente!$B$8*12,E64*(1+Dados_Cliente!$B$27)+Dados_Cliente!$B$7,E64)</f>
        <v/>
      </c>
      <c r="F65" s="17">
        <f>IF($A65&lt;=Dados_Cliente!$B$8*12,F64*(1+Dados_Cliente!$B$28)+Dados_Cliente!$B$7,F64)</f>
        <v/>
      </c>
    </row>
    <row r="66">
      <c r="A66">
        <f>A65+1</f>
        <v/>
      </c>
      <c r="B66">
        <f>A66/12</f>
        <v/>
      </c>
      <c r="C66" s="17">
        <f>IF($A66&lt;=Dados_Cliente!$B$8*12,C65+Dados_Cliente!$B$7,C65)</f>
        <v/>
      </c>
      <c r="D66" s="17">
        <f>IF($A66&lt;=Dados_Cliente!$B$8*12,D65*(1+Dados_Cliente!$B$24)+Dados_Cliente!$B$7,D65)</f>
        <v/>
      </c>
      <c r="E66" s="17">
        <f>IF($A66&lt;=Dados_Cliente!$B$8*12,E65*(1+Dados_Cliente!$B$27)+Dados_Cliente!$B$7,E65)</f>
        <v/>
      </c>
      <c r="F66" s="17">
        <f>IF($A66&lt;=Dados_Cliente!$B$8*12,F65*(1+Dados_Cliente!$B$28)+Dados_Cliente!$B$7,F65)</f>
        <v/>
      </c>
    </row>
    <row r="67">
      <c r="A67">
        <f>A66+1</f>
        <v/>
      </c>
      <c r="B67">
        <f>A67/12</f>
        <v/>
      </c>
      <c r="C67" s="17">
        <f>IF($A67&lt;=Dados_Cliente!$B$8*12,C66+Dados_Cliente!$B$7,C66)</f>
        <v/>
      </c>
      <c r="D67" s="17">
        <f>IF($A67&lt;=Dados_Cliente!$B$8*12,D66*(1+Dados_Cliente!$B$24)+Dados_Cliente!$B$7,D66)</f>
        <v/>
      </c>
      <c r="E67" s="17">
        <f>IF($A67&lt;=Dados_Cliente!$B$8*12,E66*(1+Dados_Cliente!$B$27)+Dados_Cliente!$B$7,E66)</f>
        <v/>
      </c>
      <c r="F67" s="17">
        <f>IF($A67&lt;=Dados_Cliente!$B$8*12,F66*(1+Dados_Cliente!$B$28)+Dados_Cliente!$B$7,F66)</f>
        <v/>
      </c>
    </row>
    <row r="68">
      <c r="A68">
        <f>A67+1</f>
        <v/>
      </c>
      <c r="B68">
        <f>A68/12</f>
        <v/>
      </c>
      <c r="C68" s="17">
        <f>IF($A68&lt;=Dados_Cliente!$B$8*12,C67+Dados_Cliente!$B$7,C67)</f>
        <v/>
      </c>
      <c r="D68" s="17">
        <f>IF($A68&lt;=Dados_Cliente!$B$8*12,D67*(1+Dados_Cliente!$B$24)+Dados_Cliente!$B$7,D67)</f>
        <v/>
      </c>
      <c r="E68" s="17">
        <f>IF($A68&lt;=Dados_Cliente!$B$8*12,E67*(1+Dados_Cliente!$B$27)+Dados_Cliente!$B$7,E67)</f>
        <v/>
      </c>
      <c r="F68" s="17">
        <f>IF($A68&lt;=Dados_Cliente!$B$8*12,F67*(1+Dados_Cliente!$B$28)+Dados_Cliente!$B$7,F67)</f>
        <v/>
      </c>
    </row>
    <row r="69">
      <c r="A69">
        <f>A68+1</f>
        <v/>
      </c>
      <c r="B69">
        <f>A69/12</f>
        <v/>
      </c>
      <c r="C69" s="17">
        <f>IF($A69&lt;=Dados_Cliente!$B$8*12,C68+Dados_Cliente!$B$7,C68)</f>
        <v/>
      </c>
      <c r="D69" s="17">
        <f>IF($A69&lt;=Dados_Cliente!$B$8*12,D68*(1+Dados_Cliente!$B$24)+Dados_Cliente!$B$7,D68)</f>
        <v/>
      </c>
      <c r="E69" s="17">
        <f>IF($A69&lt;=Dados_Cliente!$B$8*12,E68*(1+Dados_Cliente!$B$27)+Dados_Cliente!$B$7,E68)</f>
        <v/>
      </c>
      <c r="F69" s="17">
        <f>IF($A69&lt;=Dados_Cliente!$B$8*12,F68*(1+Dados_Cliente!$B$28)+Dados_Cliente!$B$7,F68)</f>
        <v/>
      </c>
    </row>
    <row r="70">
      <c r="A70">
        <f>A69+1</f>
        <v/>
      </c>
      <c r="B70">
        <f>A70/12</f>
        <v/>
      </c>
      <c r="C70" s="17">
        <f>IF($A70&lt;=Dados_Cliente!$B$8*12,C69+Dados_Cliente!$B$7,C69)</f>
        <v/>
      </c>
      <c r="D70" s="17">
        <f>IF($A70&lt;=Dados_Cliente!$B$8*12,D69*(1+Dados_Cliente!$B$24)+Dados_Cliente!$B$7,D69)</f>
        <v/>
      </c>
      <c r="E70" s="17">
        <f>IF($A70&lt;=Dados_Cliente!$B$8*12,E69*(1+Dados_Cliente!$B$27)+Dados_Cliente!$B$7,E69)</f>
        <v/>
      </c>
      <c r="F70" s="17">
        <f>IF($A70&lt;=Dados_Cliente!$B$8*12,F69*(1+Dados_Cliente!$B$28)+Dados_Cliente!$B$7,F69)</f>
        <v/>
      </c>
    </row>
    <row r="71">
      <c r="A71">
        <f>A70+1</f>
        <v/>
      </c>
      <c r="B71">
        <f>A71/12</f>
        <v/>
      </c>
      <c r="C71" s="17">
        <f>IF($A71&lt;=Dados_Cliente!$B$8*12,C70+Dados_Cliente!$B$7,C70)</f>
        <v/>
      </c>
      <c r="D71" s="17">
        <f>IF($A71&lt;=Dados_Cliente!$B$8*12,D70*(1+Dados_Cliente!$B$24)+Dados_Cliente!$B$7,D70)</f>
        <v/>
      </c>
      <c r="E71" s="17">
        <f>IF($A71&lt;=Dados_Cliente!$B$8*12,E70*(1+Dados_Cliente!$B$27)+Dados_Cliente!$B$7,E70)</f>
        <v/>
      </c>
      <c r="F71" s="17">
        <f>IF($A71&lt;=Dados_Cliente!$B$8*12,F70*(1+Dados_Cliente!$B$28)+Dados_Cliente!$B$7,F70)</f>
        <v/>
      </c>
    </row>
    <row r="72">
      <c r="A72">
        <f>A71+1</f>
        <v/>
      </c>
      <c r="B72">
        <f>A72/12</f>
        <v/>
      </c>
      <c r="C72" s="17">
        <f>IF($A72&lt;=Dados_Cliente!$B$8*12,C71+Dados_Cliente!$B$7,C71)</f>
        <v/>
      </c>
      <c r="D72" s="17">
        <f>IF($A72&lt;=Dados_Cliente!$B$8*12,D71*(1+Dados_Cliente!$B$24)+Dados_Cliente!$B$7,D71)</f>
        <v/>
      </c>
      <c r="E72" s="17">
        <f>IF($A72&lt;=Dados_Cliente!$B$8*12,E71*(1+Dados_Cliente!$B$27)+Dados_Cliente!$B$7,E71)</f>
        <v/>
      </c>
      <c r="F72" s="17">
        <f>IF($A72&lt;=Dados_Cliente!$B$8*12,F71*(1+Dados_Cliente!$B$28)+Dados_Cliente!$B$7,F71)</f>
        <v/>
      </c>
    </row>
    <row r="73">
      <c r="A73">
        <f>A72+1</f>
        <v/>
      </c>
      <c r="B73">
        <f>A73/12</f>
        <v/>
      </c>
      <c r="C73" s="17">
        <f>IF($A73&lt;=Dados_Cliente!$B$8*12,C72+Dados_Cliente!$B$7,C72)</f>
        <v/>
      </c>
      <c r="D73" s="17">
        <f>IF($A73&lt;=Dados_Cliente!$B$8*12,D72*(1+Dados_Cliente!$B$24)+Dados_Cliente!$B$7,D72)</f>
        <v/>
      </c>
      <c r="E73" s="17">
        <f>IF($A73&lt;=Dados_Cliente!$B$8*12,E72*(1+Dados_Cliente!$B$27)+Dados_Cliente!$B$7,E72)</f>
        <v/>
      </c>
      <c r="F73" s="17">
        <f>IF($A73&lt;=Dados_Cliente!$B$8*12,F72*(1+Dados_Cliente!$B$28)+Dados_Cliente!$B$7,F72)</f>
        <v/>
      </c>
    </row>
    <row r="74">
      <c r="A74">
        <f>A73+1</f>
        <v/>
      </c>
      <c r="B74">
        <f>A74/12</f>
        <v/>
      </c>
      <c r="C74" s="17">
        <f>IF($A74&lt;=Dados_Cliente!$B$8*12,C73+Dados_Cliente!$B$7,C73)</f>
        <v/>
      </c>
      <c r="D74" s="17">
        <f>IF($A74&lt;=Dados_Cliente!$B$8*12,D73*(1+Dados_Cliente!$B$24)+Dados_Cliente!$B$7,D73)</f>
        <v/>
      </c>
      <c r="E74" s="17">
        <f>IF($A74&lt;=Dados_Cliente!$B$8*12,E73*(1+Dados_Cliente!$B$27)+Dados_Cliente!$B$7,E73)</f>
        <v/>
      </c>
      <c r="F74" s="17">
        <f>IF($A74&lt;=Dados_Cliente!$B$8*12,F73*(1+Dados_Cliente!$B$28)+Dados_Cliente!$B$7,F73)</f>
        <v/>
      </c>
    </row>
    <row r="75">
      <c r="A75">
        <f>A74+1</f>
        <v/>
      </c>
      <c r="B75">
        <f>A75/12</f>
        <v/>
      </c>
      <c r="C75" s="17">
        <f>IF($A75&lt;=Dados_Cliente!$B$8*12,C74+Dados_Cliente!$B$7,C74)</f>
        <v/>
      </c>
      <c r="D75" s="17">
        <f>IF($A75&lt;=Dados_Cliente!$B$8*12,D74*(1+Dados_Cliente!$B$24)+Dados_Cliente!$B$7,D74)</f>
        <v/>
      </c>
      <c r="E75" s="17">
        <f>IF($A75&lt;=Dados_Cliente!$B$8*12,E74*(1+Dados_Cliente!$B$27)+Dados_Cliente!$B$7,E74)</f>
        <v/>
      </c>
      <c r="F75" s="17">
        <f>IF($A75&lt;=Dados_Cliente!$B$8*12,F74*(1+Dados_Cliente!$B$28)+Dados_Cliente!$B$7,F74)</f>
        <v/>
      </c>
    </row>
    <row r="76">
      <c r="A76">
        <f>A75+1</f>
        <v/>
      </c>
      <c r="B76">
        <f>A76/12</f>
        <v/>
      </c>
      <c r="C76" s="17">
        <f>IF($A76&lt;=Dados_Cliente!$B$8*12,C75+Dados_Cliente!$B$7,C75)</f>
        <v/>
      </c>
      <c r="D76" s="17">
        <f>IF($A76&lt;=Dados_Cliente!$B$8*12,D75*(1+Dados_Cliente!$B$24)+Dados_Cliente!$B$7,D75)</f>
        <v/>
      </c>
      <c r="E76" s="17">
        <f>IF($A76&lt;=Dados_Cliente!$B$8*12,E75*(1+Dados_Cliente!$B$27)+Dados_Cliente!$B$7,E75)</f>
        <v/>
      </c>
      <c r="F76" s="17">
        <f>IF($A76&lt;=Dados_Cliente!$B$8*12,F75*(1+Dados_Cliente!$B$28)+Dados_Cliente!$B$7,F75)</f>
        <v/>
      </c>
    </row>
    <row r="77">
      <c r="A77">
        <f>A76+1</f>
        <v/>
      </c>
      <c r="B77">
        <f>A77/12</f>
        <v/>
      </c>
      <c r="C77" s="17">
        <f>IF($A77&lt;=Dados_Cliente!$B$8*12,C76+Dados_Cliente!$B$7,C76)</f>
        <v/>
      </c>
      <c r="D77" s="17">
        <f>IF($A77&lt;=Dados_Cliente!$B$8*12,D76*(1+Dados_Cliente!$B$24)+Dados_Cliente!$B$7,D76)</f>
        <v/>
      </c>
      <c r="E77" s="17">
        <f>IF($A77&lt;=Dados_Cliente!$B$8*12,E76*(1+Dados_Cliente!$B$27)+Dados_Cliente!$B$7,E76)</f>
        <v/>
      </c>
      <c r="F77" s="17">
        <f>IF($A77&lt;=Dados_Cliente!$B$8*12,F76*(1+Dados_Cliente!$B$28)+Dados_Cliente!$B$7,F76)</f>
        <v/>
      </c>
    </row>
    <row r="78">
      <c r="A78">
        <f>A77+1</f>
        <v/>
      </c>
      <c r="B78">
        <f>A78/12</f>
        <v/>
      </c>
      <c r="C78" s="17">
        <f>IF($A78&lt;=Dados_Cliente!$B$8*12,C77+Dados_Cliente!$B$7,C77)</f>
        <v/>
      </c>
      <c r="D78" s="17">
        <f>IF($A78&lt;=Dados_Cliente!$B$8*12,D77*(1+Dados_Cliente!$B$24)+Dados_Cliente!$B$7,D77)</f>
        <v/>
      </c>
      <c r="E78" s="17">
        <f>IF($A78&lt;=Dados_Cliente!$B$8*12,E77*(1+Dados_Cliente!$B$27)+Dados_Cliente!$B$7,E77)</f>
        <v/>
      </c>
      <c r="F78" s="17">
        <f>IF($A78&lt;=Dados_Cliente!$B$8*12,F77*(1+Dados_Cliente!$B$28)+Dados_Cliente!$B$7,F77)</f>
        <v/>
      </c>
    </row>
    <row r="79">
      <c r="A79">
        <f>A78+1</f>
        <v/>
      </c>
      <c r="B79">
        <f>A79/12</f>
        <v/>
      </c>
      <c r="C79" s="17">
        <f>IF($A79&lt;=Dados_Cliente!$B$8*12,C78+Dados_Cliente!$B$7,C78)</f>
        <v/>
      </c>
      <c r="D79" s="17">
        <f>IF($A79&lt;=Dados_Cliente!$B$8*12,D78*(1+Dados_Cliente!$B$24)+Dados_Cliente!$B$7,D78)</f>
        <v/>
      </c>
      <c r="E79" s="17">
        <f>IF($A79&lt;=Dados_Cliente!$B$8*12,E78*(1+Dados_Cliente!$B$27)+Dados_Cliente!$B$7,E78)</f>
        <v/>
      </c>
      <c r="F79" s="17">
        <f>IF($A79&lt;=Dados_Cliente!$B$8*12,F78*(1+Dados_Cliente!$B$28)+Dados_Cliente!$B$7,F78)</f>
        <v/>
      </c>
    </row>
    <row r="80">
      <c r="A80">
        <f>A79+1</f>
        <v/>
      </c>
      <c r="B80">
        <f>A80/12</f>
        <v/>
      </c>
      <c r="C80" s="17">
        <f>IF($A80&lt;=Dados_Cliente!$B$8*12,C79+Dados_Cliente!$B$7,C79)</f>
        <v/>
      </c>
      <c r="D80" s="17">
        <f>IF($A80&lt;=Dados_Cliente!$B$8*12,D79*(1+Dados_Cliente!$B$24)+Dados_Cliente!$B$7,D79)</f>
        <v/>
      </c>
      <c r="E80" s="17">
        <f>IF($A80&lt;=Dados_Cliente!$B$8*12,E79*(1+Dados_Cliente!$B$27)+Dados_Cliente!$B$7,E79)</f>
        <v/>
      </c>
      <c r="F80" s="17">
        <f>IF($A80&lt;=Dados_Cliente!$B$8*12,F79*(1+Dados_Cliente!$B$28)+Dados_Cliente!$B$7,F79)</f>
        <v/>
      </c>
    </row>
    <row r="81">
      <c r="A81">
        <f>A80+1</f>
        <v/>
      </c>
      <c r="B81">
        <f>A81/12</f>
        <v/>
      </c>
      <c r="C81" s="17">
        <f>IF($A81&lt;=Dados_Cliente!$B$8*12,C80+Dados_Cliente!$B$7,C80)</f>
        <v/>
      </c>
      <c r="D81" s="17">
        <f>IF($A81&lt;=Dados_Cliente!$B$8*12,D80*(1+Dados_Cliente!$B$24)+Dados_Cliente!$B$7,D80)</f>
        <v/>
      </c>
      <c r="E81" s="17">
        <f>IF($A81&lt;=Dados_Cliente!$B$8*12,E80*(1+Dados_Cliente!$B$27)+Dados_Cliente!$B$7,E80)</f>
        <v/>
      </c>
      <c r="F81" s="17">
        <f>IF($A81&lt;=Dados_Cliente!$B$8*12,F80*(1+Dados_Cliente!$B$28)+Dados_Cliente!$B$7,F80)</f>
        <v/>
      </c>
    </row>
    <row r="82">
      <c r="A82">
        <f>A81+1</f>
        <v/>
      </c>
      <c r="B82">
        <f>A82/12</f>
        <v/>
      </c>
      <c r="C82" s="17">
        <f>IF($A82&lt;=Dados_Cliente!$B$8*12,C81+Dados_Cliente!$B$7,C81)</f>
        <v/>
      </c>
      <c r="D82" s="17">
        <f>IF($A82&lt;=Dados_Cliente!$B$8*12,D81*(1+Dados_Cliente!$B$24)+Dados_Cliente!$B$7,D81)</f>
        <v/>
      </c>
      <c r="E82" s="17">
        <f>IF($A82&lt;=Dados_Cliente!$B$8*12,E81*(1+Dados_Cliente!$B$27)+Dados_Cliente!$B$7,E81)</f>
        <v/>
      </c>
      <c r="F82" s="17">
        <f>IF($A82&lt;=Dados_Cliente!$B$8*12,F81*(1+Dados_Cliente!$B$28)+Dados_Cliente!$B$7,F81)</f>
        <v/>
      </c>
    </row>
    <row r="83">
      <c r="A83">
        <f>A82+1</f>
        <v/>
      </c>
      <c r="B83">
        <f>A83/12</f>
        <v/>
      </c>
      <c r="C83" s="17">
        <f>IF($A83&lt;=Dados_Cliente!$B$8*12,C82+Dados_Cliente!$B$7,C82)</f>
        <v/>
      </c>
      <c r="D83" s="17">
        <f>IF($A83&lt;=Dados_Cliente!$B$8*12,D82*(1+Dados_Cliente!$B$24)+Dados_Cliente!$B$7,D82)</f>
        <v/>
      </c>
      <c r="E83" s="17">
        <f>IF($A83&lt;=Dados_Cliente!$B$8*12,E82*(1+Dados_Cliente!$B$27)+Dados_Cliente!$B$7,E82)</f>
        <v/>
      </c>
      <c r="F83" s="17">
        <f>IF($A83&lt;=Dados_Cliente!$B$8*12,F82*(1+Dados_Cliente!$B$28)+Dados_Cliente!$B$7,F82)</f>
        <v/>
      </c>
    </row>
    <row r="84">
      <c r="A84">
        <f>A83+1</f>
        <v/>
      </c>
      <c r="B84">
        <f>A84/12</f>
        <v/>
      </c>
      <c r="C84" s="17">
        <f>IF($A84&lt;=Dados_Cliente!$B$8*12,C83+Dados_Cliente!$B$7,C83)</f>
        <v/>
      </c>
      <c r="D84" s="17">
        <f>IF($A84&lt;=Dados_Cliente!$B$8*12,D83*(1+Dados_Cliente!$B$24)+Dados_Cliente!$B$7,D83)</f>
        <v/>
      </c>
      <c r="E84" s="17">
        <f>IF($A84&lt;=Dados_Cliente!$B$8*12,E83*(1+Dados_Cliente!$B$27)+Dados_Cliente!$B$7,E83)</f>
        <v/>
      </c>
      <c r="F84" s="17">
        <f>IF($A84&lt;=Dados_Cliente!$B$8*12,F83*(1+Dados_Cliente!$B$28)+Dados_Cliente!$B$7,F83)</f>
        <v/>
      </c>
    </row>
    <row r="85">
      <c r="A85">
        <f>A84+1</f>
        <v/>
      </c>
      <c r="B85">
        <f>A85/12</f>
        <v/>
      </c>
      <c r="C85" s="17">
        <f>IF($A85&lt;=Dados_Cliente!$B$8*12,C84+Dados_Cliente!$B$7,C84)</f>
        <v/>
      </c>
      <c r="D85" s="17">
        <f>IF($A85&lt;=Dados_Cliente!$B$8*12,D84*(1+Dados_Cliente!$B$24)+Dados_Cliente!$B$7,D84)</f>
        <v/>
      </c>
      <c r="E85" s="17">
        <f>IF($A85&lt;=Dados_Cliente!$B$8*12,E84*(1+Dados_Cliente!$B$27)+Dados_Cliente!$B$7,E84)</f>
        <v/>
      </c>
      <c r="F85" s="17">
        <f>IF($A85&lt;=Dados_Cliente!$B$8*12,F84*(1+Dados_Cliente!$B$28)+Dados_Cliente!$B$7,F84)</f>
        <v/>
      </c>
    </row>
    <row r="86">
      <c r="A86">
        <f>A85+1</f>
        <v/>
      </c>
      <c r="B86">
        <f>A86/12</f>
        <v/>
      </c>
      <c r="C86" s="17">
        <f>IF($A86&lt;=Dados_Cliente!$B$8*12,C85+Dados_Cliente!$B$7,C85)</f>
        <v/>
      </c>
      <c r="D86" s="17">
        <f>IF($A86&lt;=Dados_Cliente!$B$8*12,D85*(1+Dados_Cliente!$B$24)+Dados_Cliente!$B$7,D85)</f>
        <v/>
      </c>
      <c r="E86" s="17">
        <f>IF($A86&lt;=Dados_Cliente!$B$8*12,E85*(1+Dados_Cliente!$B$27)+Dados_Cliente!$B$7,E85)</f>
        <v/>
      </c>
      <c r="F86" s="17">
        <f>IF($A86&lt;=Dados_Cliente!$B$8*12,F85*(1+Dados_Cliente!$B$28)+Dados_Cliente!$B$7,F85)</f>
        <v/>
      </c>
    </row>
    <row r="87">
      <c r="A87">
        <f>A86+1</f>
        <v/>
      </c>
      <c r="B87">
        <f>A87/12</f>
        <v/>
      </c>
      <c r="C87" s="17">
        <f>IF($A87&lt;=Dados_Cliente!$B$8*12,C86+Dados_Cliente!$B$7,C86)</f>
        <v/>
      </c>
      <c r="D87" s="17">
        <f>IF($A87&lt;=Dados_Cliente!$B$8*12,D86*(1+Dados_Cliente!$B$24)+Dados_Cliente!$B$7,D86)</f>
        <v/>
      </c>
      <c r="E87" s="17">
        <f>IF($A87&lt;=Dados_Cliente!$B$8*12,E86*(1+Dados_Cliente!$B$27)+Dados_Cliente!$B$7,E86)</f>
        <v/>
      </c>
      <c r="F87" s="17">
        <f>IF($A87&lt;=Dados_Cliente!$B$8*12,F86*(1+Dados_Cliente!$B$28)+Dados_Cliente!$B$7,F86)</f>
        <v/>
      </c>
    </row>
    <row r="88">
      <c r="A88">
        <f>A87+1</f>
        <v/>
      </c>
      <c r="B88">
        <f>A88/12</f>
        <v/>
      </c>
      <c r="C88" s="17">
        <f>IF($A88&lt;=Dados_Cliente!$B$8*12,C87+Dados_Cliente!$B$7,C87)</f>
        <v/>
      </c>
      <c r="D88" s="17">
        <f>IF($A88&lt;=Dados_Cliente!$B$8*12,D87*(1+Dados_Cliente!$B$24)+Dados_Cliente!$B$7,D87)</f>
        <v/>
      </c>
      <c r="E88" s="17">
        <f>IF($A88&lt;=Dados_Cliente!$B$8*12,E87*(1+Dados_Cliente!$B$27)+Dados_Cliente!$B$7,E87)</f>
        <v/>
      </c>
      <c r="F88" s="17">
        <f>IF($A88&lt;=Dados_Cliente!$B$8*12,F87*(1+Dados_Cliente!$B$28)+Dados_Cliente!$B$7,F87)</f>
        <v/>
      </c>
    </row>
    <row r="89">
      <c r="A89">
        <f>A88+1</f>
        <v/>
      </c>
      <c r="B89">
        <f>A89/12</f>
        <v/>
      </c>
      <c r="C89" s="17">
        <f>IF($A89&lt;=Dados_Cliente!$B$8*12,C88+Dados_Cliente!$B$7,C88)</f>
        <v/>
      </c>
      <c r="D89" s="17">
        <f>IF($A89&lt;=Dados_Cliente!$B$8*12,D88*(1+Dados_Cliente!$B$24)+Dados_Cliente!$B$7,D88)</f>
        <v/>
      </c>
      <c r="E89" s="17">
        <f>IF($A89&lt;=Dados_Cliente!$B$8*12,E88*(1+Dados_Cliente!$B$27)+Dados_Cliente!$B$7,E88)</f>
        <v/>
      </c>
      <c r="F89" s="17">
        <f>IF($A89&lt;=Dados_Cliente!$B$8*12,F88*(1+Dados_Cliente!$B$28)+Dados_Cliente!$B$7,F88)</f>
        <v/>
      </c>
    </row>
    <row r="90">
      <c r="A90">
        <f>A89+1</f>
        <v/>
      </c>
      <c r="B90">
        <f>A90/12</f>
        <v/>
      </c>
      <c r="C90" s="17">
        <f>IF($A90&lt;=Dados_Cliente!$B$8*12,C89+Dados_Cliente!$B$7,C89)</f>
        <v/>
      </c>
      <c r="D90" s="17">
        <f>IF($A90&lt;=Dados_Cliente!$B$8*12,D89*(1+Dados_Cliente!$B$24)+Dados_Cliente!$B$7,D89)</f>
        <v/>
      </c>
      <c r="E90" s="17">
        <f>IF($A90&lt;=Dados_Cliente!$B$8*12,E89*(1+Dados_Cliente!$B$27)+Dados_Cliente!$B$7,E89)</f>
        <v/>
      </c>
      <c r="F90" s="17">
        <f>IF($A90&lt;=Dados_Cliente!$B$8*12,F89*(1+Dados_Cliente!$B$28)+Dados_Cliente!$B$7,F89)</f>
        <v/>
      </c>
    </row>
    <row r="91">
      <c r="A91">
        <f>A90+1</f>
        <v/>
      </c>
      <c r="B91">
        <f>A91/12</f>
        <v/>
      </c>
      <c r="C91" s="17">
        <f>IF($A91&lt;=Dados_Cliente!$B$8*12,C90+Dados_Cliente!$B$7,C90)</f>
        <v/>
      </c>
      <c r="D91" s="17">
        <f>IF($A91&lt;=Dados_Cliente!$B$8*12,D90*(1+Dados_Cliente!$B$24)+Dados_Cliente!$B$7,D90)</f>
        <v/>
      </c>
      <c r="E91" s="17">
        <f>IF($A91&lt;=Dados_Cliente!$B$8*12,E90*(1+Dados_Cliente!$B$27)+Dados_Cliente!$B$7,E90)</f>
        <v/>
      </c>
      <c r="F91" s="17">
        <f>IF($A91&lt;=Dados_Cliente!$B$8*12,F90*(1+Dados_Cliente!$B$28)+Dados_Cliente!$B$7,F90)</f>
        <v/>
      </c>
    </row>
    <row r="92">
      <c r="A92">
        <f>A91+1</f>
        <v/>
      </c>
      <c r="B92">
        <f>A92/12</f>
        <v/>
      </c>
      <c r="C92" s="17">
        <f>IF($A92&lt;=Dados_Cliente!$B$8*12,C91+Dados_Cliente!$B$7,C91)</f>
        <v/>
      </c>
      <c r="D92" s="17">
        <f>IF($A92&lt;=Dados_Cliente!$B$8*12,D91*(1+Dados_Cliente!$B$24)+Dados_Cliente!$B$7,D91)</f>
        <v/>
      </c>
      <c r="E92" s="17">
        <f>IF($A92&lt;=Dados_Cliente!$B$8*12,E91*(1+Dados_Cliente!$B$27)+Dados_Cliente!$B$7,E91)</f>
        <v/>
      </c>
      <c r="F92" s="17">
        <f>IF($A92&lt;=Dados_Cliente!$B$8*12,F91*(1+Dados_Cliente!$B$28)+Dados_Cliente!$B$7,F91)</f>
        <v/>
      </c>
    </row>
    <row r="93">
      <c r="A93">
        <f>A92+1</f>
        <v/>
      </c>
      <c r="B93">
        <f>A93/12</f>
        <v/>
      </c>
      <c r="C93" s="17">
        <f>IF($A93&lt;=Dados_Cliente!$B$8*12,C92+Dados_Cliente!$B$7,C92)</f>
        <v/>
      </c>
      <c r="D93" s="17">
        <f>IF($A93&lt;=Dados_Cliente!$B$8*12,D92*(1+Dados_Cliente!$B$24)+Dados_Cliente!$B$7,D92)</f>
        <v/>
      </c>
      <c r="E93" s="17">
        <f>IF($A93&lt;=Dados_Cliente!$B$8*12,E92*(1+Dados_Cliente!$B$27)+Dados_Cliente!$B$7,E92)</f>
        <v/>
      </c>
      <c r="F93" s="17">
        <f>IF($A93&lt;=Dados_Cliente!$B$8*12,F92*(1+Dados_Cliente!$B$28)+Dados_Cliente!$B$7,F92)</f>
        <v/>
      </c>
    </row>
    <row r="94">
      <c r="A94">
        <f>A93+1</f>
        <v/>
      </c>
      <c r="B94">
        <f>A94/12</f>
        <v/>
      </c>
      <c r="C94" s="17">
        <f>IF($A94&lt;=Dados_Cliente!$B$8*12,C93+Dados_Cliente!$B$7,C93)</f>
        <v/>
      </c>
      <c r="D94" s="17">
        <f>IF($A94&lt;=Dados_Cliente!$B$8*12,D93*(1+Dados_Cliente!$B$24)+Dados_Cliente!$B$7,D93)</f>
        <v/>
      </c>
      <c r="E94" s="17">
        <f>IF($A94&lt;=Dados_Cliente!$B$8*12,E93*(1+Dados_Cliente!$B$27)+Dados_Cliente!$B$7,E93)</f>
        <v/>
      </c>
      <c r="F94" s="17">
        <f>IF($A94&lt;=Dados_Cliente!$B$8*12,F93*(1+Dados_Cliente!$B$28)+Dados_Cliente!$B$7,F93)</f>
        <v/>
      </c>
    </row>
    <row r="95">
      <c r="A95">
        <f>A94+1</f>
        <v/>
      </c>
      <c r="B95">
        <f>A95/12</f>
        <v/>
      </c>
      <c r="C95" s="17">
        <f>IF($A95&lt;=Dados_Cliente!$B$8*12,C94+Dados_Cliente!$B$7,C94)</f>
        <v/>
      </c>
      <c r="D95" s="17">
        <f>IF($A95&lt;=Dados_Cliente!$B$8*12,D94*(1+Dados_Cliente!$B$24)+Dados_Cliente!$B$7,D94)</f>
        <v/>
      </c>
      <c r="E95" s="17">
        <f>IF($A95&lt;=Dados_Cliente!$B$8*12,E94*(1+Dados_Cliente!$B$27)+Dados_Cliente!$B$7,E94)</f>
        <v/>
      </c>
      <c r="F95" s="17">
        <f>IF($A95&lt;=Dados_Cliente!$B$8*12,F94*(1+Dados_Cliente!$B$28)+Dados_Cliente!$B$7,F94)</f>
        <v/>
      </c>
    </row>
    <row r="96">
      <c r="A96">
        <f>A95+1</f>
        <v/>
      </c>
      <c r="B96">
        <f>A96/12</f>
        <v/>
      </c>
      <c r="C96" s="17">
        <f>IF($A96&lt;=Dados_Cliente!$B$8*12,C95+Dados_Cliente!$B$7,C95)</f>
        <v/>
      </c>
      <c r="D96" s="17">
        <f>IF($A96&lt;=Dados_Cliente!$B$8*12,D95*(1+Dados_Cliente!$B$24)+Dados_Cliente!$B$7,D95)</f>
        <v/>
      </c>
      <c r="E96" s="17">
        <f>IF($A96&lt;=Dados_Cliente!$B$8*12,E95*(1+Dados_Cliente!$B$27)+Dados_Cliente!$B$7,E95)</f>
        <v/>
      </c>
      <c r="F96" s="17">
        <f>IF($A96&lt;=Dados_Cliente!$B$8*12,F95*(1+Dados_Cliente!$B$28)+Dados_Cliente!$B$7,F95)</f>
        <v/>
      </c>
    </row>
    <row r="97">
      <c r="A97">
        <f>A96+1</f>
        <v/>
      </c>
      <c r="B97">
        <f>A97/12</f>
        <v/>
      </c>
      <c r="C97" s="17">
        <f>IF($A97&lt;=Dados_Cliente!$B$8*12,C96+Dados_Cliente!$B$7,C96)</f>
        <v/>
      </c>
      <c r="D97" s="17">
        <f>IF($A97&lt;=Dados_Cliente!$B$8*12,D96*(1+Dados_Cliente!$B$24)+Dados_Cliente!$B$7,D96)</f>
        <v/>
      </c>
      <c r="E97" s="17">
        <f>IF($A97&lt;=Dados_Cliente!$B$8*12,E96*(1+Dados_Cliente!$B$27)+Dados_Cliente!$B$7,E96)</f>
        <v/>
      </c>
      <c r="F97" s="17">
        <f>IF($A97&lt;=Dados_Cliente!$B$8*12,F96*(1+Dados_Cliente!$B$28)+Dados_Cliente!$B$7,F96)</f>
        <v/>
      </c>
    </row>
    <row r="98">
      <c r="A98">
        <f>A97+1</f>
        <v/>
      </c>
      <c r="B98">
        <f>A98/12</f>
        <v/>
      </c>
      <c r="C98" s="17">
        <f>IF($A98&lt;=Dados_Cliente!$B$8*12,C97+Dados_Cliente!$B$7,C97)</f>
        <v/>
      </c>
      <c r="D98" s="17">
        <f>IF($A98&lt;=Dados_Cliente!$B$8*12,D97*(1+Dados_Cliente!$B$24)+Dados_Cliente!$B$7,D97)</f>
        <v/>
      </c>
      <c r="E98" s="17">
        <f>IF($A98&lt;=Dados_Cliente!$B$8*12,E97*(1+Dados_Cliente!$B$27)+Dados_Cliente!$B$7,E97)</f>
        <v/>
      </c>
      <c r="F98" s="17">
        <f>IF($A98&lt;=Dados_Cliente!$B$8*12,F97*(1+Dados_Cliente!$B$28)+Dados_Cliente!$B$7,F97)</f>
        <v/>
      </c>
    </row>
    <row r="99">
      <c r="A99">
        <f>A98+1</f>
        <v/>
      </c>
      <c r="B99">
        <f>A99/12</f>
        <v/>
      </c>
      <c r="C99" s="17">
        <f>IF($A99&lt;=Dados_Cliente!$B$8*12,C98+Dados_Cliente!$B$7,C98)</f>
        <v/>
      </c>
      <c r="D99" s="17">
        <f>IF($A99&lt;=Dados_Cliente!$B$8*12,D98*(1+Dados_Cliente!$B$24)+Dados_Cliente!$B$7,D98)</f>
        <v/>
      </c>
      <c r="E99" s="17">
        <f>IF($A99&lt;=Dados_Cliente!$B$8*12,E98*(1+Dados_Cliente!$B$27)+Dados_Cliente!$B$7,E98)</f>
        <v/>
      </c>
      <c r="F99" s="17">
        <f>IF($A99&lt;=Dados_Cliente!$B$8*12,F98*(1+Dados_Cliente!$B$28)+Dados_Cliente!$B$7,F98)</f>
        <v/>
      </c>
    </row>
    <row r="100">
      <c r="A100">
        <f>A99+1</f>
        <v/>
      </c>
      <c r="B100">
        <f>A100/12</f>
        <v/>
      </c>
      <c r="C100" s="17">
        <f>IF($A100&lt;=Dados_Cliente!$B$8*12,C99+Dados_Cliente!$B$7,C99)</f>
        <v/>
      </c>
      <c r="D100" s="17">
        <f>IF($A100&lt;=Dados_Cliente!$B$8*12,D99*(1+Dados_Cliente!$B$24)+Dados_Cliente!$B$7,D99)</f>
        <v/>
      </c>
      <c r="E100" s="17">
        <f>IF($A100&lt;=Dados_Cliente!$B$8*12,E99*(1+Dados_Cliente!$B$27)+Dados_Cliente!$B$7,E99)</f>
        <v/>
      </c>
      <c r="F100" s="17">
        <f>IF($A100&lt;=Dados_Cliente!$B$8*12,F99*(1+Dados_Cliente!$B$28)+Dados_Cliente!$B$7,F99)</f>
        <v/>
      </c>
    </row>
    <row r="101">
      <c r="A101">
        <f>A100+1</f>
        <v/>
      </c>
      <c r="B101">
        <f>A101/12</f>
        <v/>
      </c>
      <c r="C101" s="17">
        <f>IF($A101&lt;=Dados_Cliente!$B$8*12,C100+Dados_Cliente!$B$7,C100)</f>
        <v/>
      </c>
      <c r="D101" s="17">
        <f>IF($A101&lt;=Dados_Cliente!$B$8*12,D100*(1+Dados_Cliente!$B$24)+Dados_Cliente!$B$7,D100)</f>
        <v/>
      </c>
      <c r="E101" s="17">
        <f>IF($A101&lt;=Dados_Cliente!$B$8*12,E100*(1+Dados_Cliente!$B$27)+Dados_Cliente!$B$7,E100)</f>
        <v/>
      </c>
      <c r="F101" s="17">
        <f>IF($A101&lt;=Dados_Cliente!$B$8*12,F100*(1+Dados_Cliente!$B$28)+Dados_Cliente!$B$7,F100)</f>
        <v/>
      </c>
    </row>
    <row r="102">
      <c r="A102">
        <f>A101+1</f>
        <v/>
      </c>
      <c r="B102">
        <f>A102/12</f>
        <v/>
      </c>
      <c r="C102" s="17">
        <f>IF($A102&lt;=Dados_Cliente!$B$8*12,C101+Dados_Cliente!$B$7,C101)</f>
        <v/>
      </c>
      <c r="D102" s="17">
        <f>IF($A102&lt;=Dados_Cliente!$B$8*12,D101*(1+Dados_Cliente!$B$24)+Dados_Cliente!$B$7,D101)</f>
        <v/>
      </c>
      <c r="E102" s="17">
        <f>IF($A102&lt;=Dados_Cliente!$B$8*12,E101*(1+Dados_Cliente!$B$27)+Dados_Cliente!$B$7,E101)</f>
        <v/>
      </c>
      <c r="F102" s="17">
        <f>IF($A102&lt;=Dados_Cliente!$B$8*12,F101*(1+Dados_Cliente!$B$28)+Dados_Cliente!$B$7,F101)</f>
        <v/>
      </c>
    </row>
    <row r="103">
      <c r="A103">
        <f>A102+1</f>
        <v/>
      </c>
      <c r="B103">
        <f>A103/12</f>
        <v/>
      </c>
      <c r="C103" s="17">
        <f>IF($A103&lt;=Dados_Cliente!$B$8*12,C102+Dados_Cliente!$B$7,C102)</f>
        <v/>
      </c>
      <c r="D103" s="17">
        <f>IF($A103&lt;=Dados_Cliente!$B$8*12,D102*(1+Dados_Cliente!$B$24)+Dados_Cliente!$B$7,D102)</f>
        <v/>
      </c>
      <c r="E103" s="17">
        <f>IF($A103&lt;=Dados_Cliente!$B$8*12,E102*(1+Dados_Cliente!$B$27)+Dados_Cliente!$B$7,E102)</f>
        <v/>
      </c>
      <c r="F103" s="17">
        <f>IF($A103&lt;=Dados_Cliente!$B$8*12,F102*(1+Dados_Cliente!$B$28)+Dados_Cliente!$B$7,F102)</f>
        <v/>
      </c>
    </row>
    <row r="104">
      <c r="A104">
        <f>A103+1</f>
        <v/>
      </c>
      <c r="B104">
        <f>A104/12</f>
        <v/>
      </c>
      <c r="C104" s="17">
        <f>IF($A104&lt;=Dados_Cliente!$B$8*12,C103+Dados_Cliente!$B$7,C103)</f>
        <v/>
      </c>
      <c r="D104" s="17">
        <f>IF($A104&lt;=Dados_Cliente!$B$8*12,D103*(1+Dados_Cliente!$B$24)+Dados_Cliente!$B$7,D103)</f>
        <v/>
      </c>
      <c r="E104" s="17">
        <f>IF($A104&lt;=Dados_Cliente!$B$8*12,E103*(1+Dados_Cliente!$B$27)+Dados_Cliente!$B$7,E103)</f>
        <v/>
      </c>
      <c r="F104" s="17">
        <f>IF($A104&lt;=Dados_Cliente!$B$8*12,F103*(1+Dados_Cliente!$B$28)+Dados_Cliente!$B$7,F103)</f>
        <v/>
      </c>
    </row>
    <row r="105">
      <c r="A105">
        <f>A104+1</f>
        <v/>
      </c>
      <c r="B105">
        <f>A105/12</f>
        <v/>
      </c>
      <c r="C105" s="17">
        <f>IF($A105&lt;=Dados_Cliente!$B$8*12,C104+Dados_Cliente!$B$7,C104)</f>
        <v/>
      </c>
      <c r="D105" s="17">
        <f>IF($A105&lt;=Dados_Cliente!$B$8*12,D104*(1+Dados_Cliente!$B$24)+Dados_Cliente!$B$7,D104)</f>
        <v/>
      </c>
      <c r="E105" s="17">
        <f>IF($A105&lt;=Dados_Cliente!$B$8*12,E104*(1+Dados_Cliente!$B$27)+Dados_Cliente!$B$7,E104)</f>
        <v/>
      </c>
      <c r="F105" s="17">
        <f>IF($A105&lt;=Dados_Cliente!$B$8*12,F104*(1+Dados_Cliente!$B$28)+Dados_Cliente!$B$7,F104)</f>
        <v/>
      </c>
    </row>
    <row r="106">
      <c r="A106">
        <f>A105+1</f>
        <v/>
      </c>
      <c r="B106">
        <f>A106/12</f>
        <v/>
      </c>
      <c r="C106" s="17">
        <f>IF($A106&lt;=Dados_Cliente!$B$8*12,C105+Dados_Cliente!$B$7,C105)</f>
        <v/>
      </c>
      <c r="D106" s="17">
        <f>IF($A106&lt;=Dados_Cliente!$B$8*12,D105*(1+Dados_Cliente!$B$24)+Dados_Cliente!$B$7,D105)</f>
        <v/>
      </c>
      <c r="E106" s="17">
        <f>IF($A106&lt;=Dados_Cliente!$B$8*12,E105*(1+Dados_Cliente!$B$27)+Dados_Cliente!$B$7,E105)</f>
        <v/>
      </c>
      <c r="F106" s="17">
        <f>IF($A106&lt;=Dados_Cliente!$B$8*12,F105*(1+Dados_Cliente!$B$28)+Dados_Cliente!$B$7,F105)</f>
        <v/>
      </c>
    </row>
    <row r="107">
      <c r="A107">
        <f>A106+1</f>
        <v/>
      </c>
      <c r="B107">
        <f>A107/12</f>
        <v/>
      </c>
      <c r="C107" s="17">
        <f>IF($A107&lt;=Dados_Cliente!$B$8*12,C106+Dados_Cliente!$B$7,C106)</f>
        <v/>
      </c>
      <c r="D107" s="17">
        <f>IF($A107&lt;=Dados_Cliente!$B$8*12,D106*(1+Dados_Cliente!$B$24)+Dados_Cliente!$B$7,D106)</f>
        <v/>
      </c>
      <c r="E107" s="17">
        <f>IF($A107&lt;=Dados_Cliente!$B$8*12,E106*(1+Dados_Cliente!$B$27)+Dados_Cliente!$B$7,E106)</f>
        <v/>
      </c>
      <c r="F107" s="17">
        <f>IF($A107&lt;=Dados_Cliente!$B$8*12,F106*(1+Dados_Cliente!$B$28)+Dados_Cliente!$B$7,F106)</f>
        <v/>
      </c>
    </row>
    <row r="108">
      <c r="A108">
        <f>A107+1</f>
        <v/>
      </c>
      <c r="B108">
        <f>A108/12</f>
        <v/>
      </c>
      <c r="C108" s="17">
        <f>IF($A108&lt;=Dados_Cliente!$B$8*12,C107+Dados_Cliente!$B$7,C107)</f>
        <v/>
      </c>
      <c r="D108" s="17">
        <f>IF($A108&lt;=Dados_Cliente!$B$8*12,D107*(1+Dados_Cliente!$B$24)+Dados_Cliente!$B$7,D107)</f>
        <v/>
      </c>
      <c r="E108" s="17">
        <f>IF($A108&lt;=Dados_Cliente!$B$8*12,E107*(1+Dados_Cliente!$B$27)+Dados_Cliente!$B$7,E107)</f>
        <v/>
      </c>
      <c r="F108" s="17">
        <f>IF($A108&lt;=Dados_Cliente!$B$8*12,F107*(1+Dados_Cliente!$B$28)+Dados_Cliente!$B$7,F107)</f>
        <v/>
      </c>
    </row>
    <row r="109">
      <c r="A109">
        <f>A108+1</f>
        <v/>
      </c>
      <c r="B109">
        <f>A109/12</f>
        <v/>
      </c>
      <c r="C109" s="17">
        <f>IF($A109&lt;=Dados_Cliente!$B$8*12,C108+Dados_Cliente!$B$7,C108)</f>
        <v/>
      </c>
      <c r="D109" s="17">
        <f>IF($A109&lt;=Dados_Cliente!$B$8*12,D108*(1+Dados_Cliente!$B$24)+Dados_Cliente!$B$7,D108)</f>
        <v/>
      </c>
      <c r="E109" s="17">
        <f>IF($A109&lt;=Dados_Cliente!$B$8*12,E108*(1+Dados_Cliente!$B$27)+Dados_Cliente!$B$7,E108)</f>
        <v/>
      </c>
      <c r="F109" s="17">
        <f>IF($A109&lt;=Dados_Cliente!$B$8*12,F108*(1+Dados_Cliente!$B$28)+Dados_Cliente!$B$7,F108)</f>
        <v/>
      </c>
    </row>
    <row r="110">
      <c r="A110">
        <f>A109+1</f>
        <v/>
      </c>
      <c r="B110">
        <f>A110/12</f>
        <v/>
      </c>
      <c r="C110" s="17">
        <f>IF($A110&lt;=Dados_Cliente!$B$8*12,C109+Dados_Cliente!$B$7,C109)</f>
        <v/>
      </c>
      <c r="D110" s="17">
        <f>IF($A110&lt;=Dados_Cliente!$B$8*12,D109*(1+Dados_Cliente!$B$24)+Dados_Cliente!$B$7,D109)</f>
        <v/>
      </c>
      <c r="E110" s="17">
        <f>IF($A110&lt;=Dados_Cliente!$B$8*12,E109*(1+Dados_Cliente!$B$27)+Dados_Cliente!$B$7,E109)</f>
        <v/>
      </c>
      <c r="F110" s="17">
        <f>IF($A110&lt;=Dados_Cliente!$B$8*12,F109*(1+Dados_Cliente!$B$28)+Dados_Cliente!$B$7,F109)</f>
        <v/>
      </c>
    </row>
    <row r="111">
      <c r="A111">
        <f>A110+1</f>
        <v/>
      </c>
      <c r="B111">
        <f>A111/12</f>
        <v/>
      </c>
      <c r="C111" s="17">
        <f>IF($A111&lt;=Dados_Cliente!$B$8*12,C110+Dados_Cliente!$B$7,C110)</f>
        <v/>
      </c>
      <c r="D111" s="17">
        <f>IF($A111&lt;=Dados_Cliente!$B$8*12,D110*(1+Dados_Cliente!$B$24)+Dados_Cliente!$B$7,D110)</f>
        <v/>
      </c>
      <c r="E111" s="17">
        <f>IF($A111&lt;=Dados_Cliente!$B$8*12,E110*(1+Dados_Cliente!$B$27)+Dados_Cliente!$B$7,E110)</f>
        <v/>
      </c>
      <c r="F111" s="17">
        <f>IF($A111&lt;=Dados_Cliente!$B$8*12,F110*(1+Dados_Cliente!$B$28)+Dados_Cliente!$B$7,F110)</f>
        <v/>
      </c>
    </row>
    <row r="112">
      <c r="A112">
        <f>A111+1</f>
        <v/>
      </c>
      <c r="B112">
        <f>A112/12</f>
        <v/>
      </c>
      <c r="C112" s="17">
        <f>IF($A112&lt;=Dados_Cliente!$B$8*12,C111+Dados_Cliente!$B$7,C111)</f>
        <v/>
      </c>
      <c r="D112" s="17">
        <f>IF($A112&lt;=Dados_Cliente!$B$8*12,D111*(1+Dados_Cliente!$B$24)+Dados_Cliente!$B$7,D111)</f>
        <v/>
      </c>
      <c r="E112" s="17">
        <f>IF($A112&lt;=Dados_Cliente!$B$8*12,E111*(1+Dados_Cliente!$B$27)+Dados_Cliente!$B$7,E111)</f>
        <v/>
      </c>
      <c r="F112" s="17">
        <f>IF($A112&lt;=Dados_Cliente!$B$8*12,F111*(1+Dados_Cliente!$B$28)+Dados_Cliente!$B$7,F111)</f>
        <v/>
      </c>
    </row>
    <row r="113">
      <c r="A113">
        <f>A112+1</f>
        <v/>
      </c>
      <c r="B113">
        <f>A113/12</f>
        <v/>
      </c>
      <c r="C113" s="17">
        <f>IF($A113&lt;=Dados_Cliente!$B$8*12,C112+Dados_Cliente!$B$7,C112)</f>
        <v/>
      </c>
      <c r="D113" s="17">
        <f>IF($A113&lt;=Dados_Cliente!$B$8*12,D112*(1+Dados_Cliente!$B$24)+Dados_Cliente!$B$7,D112)</f>
        <v/>
      </c>
      <c r="E113" s="17">
        <f>IF($A113&lt;=Dados_Cliente!$B$8*12,E112*(1+Dados_Cliente!$B$27)+Dados_Cliente!$B$7,E112)</f>
        <v/>
      </c>
      <c r="F113" s="17">
        <f>IF($A113&lt;=Dados_Cliente!$B$8*12,F112*(1+Dados_Cliente!$B$28)+Dados_Cliente!$B$7,F112)</f>
        <v/>
      </c>
    </row>
    <row r="114">
      <c r="A114">
        <f>A113+1</f>
        <v/>
      </c>
      <c r="B114">
        <f>A114/12</f>
        <v/>
      </c>
      <c r="C114" s="17">
        <f>IF($A114&lt;=Dados_Cliente!$B$8*12,C113+Dados_Cliente!$B$7,C113)</f>
        <v/>
      </c>
      <c r="D114" s="17">
        <f>IF($A114&lt;=Dados_Cliente!$B$8*12,D113*(1+Dados_Cliente!$B$24)+Dados_Cliente!$B$7,D113)</f>
        <v/>
      </c>
      <c r="E114" s="17">
        <f>IF($A114&lt;=Dados_Cliente!$B$8*12,E113*(1+Dados_Cliente!$B$27)+Dados_Cliente!$B$7,E113)</f>
        <v/>
      </c>
      <c r="F114" s="17">
        <f>IF($A114&lt;=Dados_Cliente!$B$8*12,F113*(1+Dados_Cliente!$B$28)+Dados_Cliente!$B$7,F113)</f>
        <v/>
      </c>
    </row>
    <row r="115">
      <c r="A115">
        <f>A114+1</f>
        <v/>
      </c>
      <c r="B115">
        <f>A115/12</f>
        <v/>
      </c>
      <c r="C115" s="17">
        <f>IF($A115&lt;=Dados_Cliente!$B$8*12,C114+Dados_Cliente!$B$7,C114)</f>
        <v/>
      </c>
      <c r="D115" s="17">
        <f>IF($A115&lt;=Dados_Cliente!$B$8*12,D114*(1+Dados_Cliente!$B$24)+Dados_Cliente!$B$7,D114)</f>
        <v/>
      </c>
      <c r="E115" s="17">
        <f>IF($A115&lt;=Dados_Cliente!$B$8*12,E114*(1+Dados_Cliente!$B$27)+Dados_Cliente!$B$7,E114)</f>
        <v/>
      </c>
      <c r="F115" s="17">
        <f>IF($A115&lt;=Dados_Cliente!$B$8*12,F114*(1+Dados_Cliente!$B$28)+Dados_Cliente!$B$7,F114)</f>
        <v/>
      </c>
    </row>
    <row r="116">
      <c r="A116">
        <f>A115+1</f>
        <v/>
      </c>
      <c r="B116">
        <f>A116/12</f>
        <v/>
      </c>
      <c r="C116" s="17">
        <f>IF($A116&lt;=Dados_Cliente!$B$8*12,C115+Dados_Cliente!$B$7,C115)</f>
        <v/>
      </c>
      <c r="D116" s="17">
        <f>IF($A116&lt;=Dados_Cliente!$B$8*12,D115*(1+Dados_Cliente!$B$24)+Dados_Cliente!$B$7,D115)</f>
        <v/>
      </c>
      <c r="E116" s="17">
        <f>IF($A116&lt;=Dados_Cliente!$B$8*12,E115*(1+Dados_Cliente!$B$27)+Dados_Cliente!$B$7,E115)</f>
        <v/>
      </c>
      <c r="F116" s="17">
        <f>IF($A116&lt;=Dados_Cliente!$B$8*12,F115*(1+Dados_Cliente!$B$28)+Dados_Cliente!$B$7,F115)</f>
        <v/>
      </c>
    </row>
    <row r="117">
      <c r="A117">
        <f>A116+1</f>
        <v/>
      </c>
      <c r="B117">
        <f>A117/12</f>
        <v/>
      </c>
      <c r="C117" s="17">
        <f>IF($A117&lt;=Dados_Cliente!$B$8*12,C116+Dados_Cliente!$B$7,C116)</f>
        <v/>
      </c>
      <c r="D117" s="17">
        <f>IF($A117&lt;=Dados_Cliente!$B$8*12,D116*(1+Dados_Cliente!$B$24)+Dados_Cliente!$B$7,D116)</f>
        <v/>
      </c>
      <c r="E117" s="17">
        <f>IF($A117&lt;=Dados_Cliente!$B$8*12,E116*(1+Dados_Cliente!$B$27)+Dados_Cliente!$B$7,E116)</f>
        <v/>
      </c>
      <c r="F117" s="17">
        <f>IF($A117&lt;=Dados_Cliente!$B$8*12,F116*(1+Dados_Cliente!$B$28)+Dados_Cliente!$B$7,F116)</f>
        <v/>
      </c>
    </row>
    <row r="118">
      <c r="A118">
        <f>A117+1</f>
        <v/>
      </c>
      <c r="B118">
        <f>A118/12</f>
        <v/>
      </c>
      <c r="C118" s="17">
        <f>IF($A118&lt;=Dados_Cliente!$B$8*12,C117+Dados_Cliente!$B$7,C117)</f>
        <v/>
      </c>
      <c r="D118" s="17">
        <f>IF($A118&lt;=Dados_Cliente!$B$8*12,D117*(1+Dados_Cliente!$B$24)+Dados_Cliente!$B$7,D117)</f>
        <v/>
      </c>
      <c r="E118" s="17">
        <f>IF($A118&lt;=Dados_Cliente!$B$8*12,E117*(1+Dados_Cliente!$B$27)+Dados_Cliente!$B$7,E117)</f>
        <v/>
      </c>
      <c r="F118" s="17">
        <f>IF($A118&lt;=Dados_Cliente!$B$8*12,F117*(1+Dados_Cliente!$B$28)+Dados_Cliente!$B$7,F117)</f>
        <v/>
      </c>
    </row>
    <row r="119">
      <c r="A119">
        <f>A118+1</f>
        <v/>
      </c>
      <c r="B119">
        <f>A119/12</f>
        <v/>
      </c>
      <c r="C119" s="17">
        <f>IF($A119&lt;=Dados_Cliente!$B$8*12,C118+Dados_Cliente!$B$7,C118)</f>
        <v/>
      </c>
      <c r="D119" s="17">
        <f>IF($A119&lt;=Dados_Cliente!$B$8*12,D118*(1+Dados_Cliente!$B$24)+Dados_Cliente!$B$7,D118)</f>
        <v/>
      </c>
      <c r="E119" s="17">
        <f>IF($A119&lt;=Dados_Cliente!$B$8*12,E118*(1+Dados_Cliente!$B$27)+Dados_Cliente!$B$7,E118)</f>
        <v/>
      </c>
      <c r="F119" s="17">
        <f>IF($A119&lt;=Dados_Cliente!$B$8*12,F118*(1+Dados_Cliente!$B$28)+Dados_Cliente!$B$7,F118)</f>
        <v/>
      </c>
    </row>
    <row r="120">
      <c r="A120">
        <f>A119+1</f>
        <v/>
      </c>
      <c r="B120">
        <f>A120/12</f>
        <v/>
      </c>
      <c r="C120" s="17">
        <f>IF($A120&lt;=Dados_Cliente!$B$8*12,C119+Dados_Cliente!$B$7,C119)</f>
        <v/>
      </c>
      <c r="D120" s="17">
        <f>IF($A120&lt;=Dados_Cliente!$B$8*12,D119*(1+Dados_Cliente!$B$24)+Dados_Cliente!$B$7,D119)</f>
        <v/>
      </c>
      <c r="E120" s="17">
        <f>IF($A120&lt;=Dados_Cliente!$B$8*12,E119*(1+Dados_Cliente!$B$27)+Dados_Cliente!$B$7,E119)</f>
        <v/>
      </c>
      <c r="F120" s="17">
        <f>IF($A120&lt;=Dados_Cliente!$B$8*12,F119*(1+Dados_Cliente!$B$28)+Dados_Cliente!$B$7,F119)</f>
        <v/>
      </c>
    </row>
    <row r="121">
      <c r="A121">
        <f>A120+1</f>
        <v/>
      </c>
      <c r="B121">
        <f>A121/12</f>
        <v/>
      </c>
      <c r="C121" s="17">
        <f>IF($A121&lt;=Dados_Cliente!$B$8*12,C120+Dados_Cliente!$B$7,C120)</f>
        <v/>
      </c>
      <c r="D121" s="17">
        <f>IF($A121&lt;=Dados_Cliente!$B$8*12,D120*(1+Dados_Cliente!$B$24)+Dados_Cliente!$B$7,D120)</f>
        <v/>
      </c>
      <c r="E121" s="17">
        <f>IF($A121&lt;=Dados_Cliente!$B$8*12,E120*(1+Dados_Cliente!$B$27)+Dados_Cliente!$B$7,E120)</f>
        <v/>
      </c>
      <c r="F121" s="17">
        <f>IF($A121&lt;=Dados_Cliente!$B$8*12,F120*(1+Dados_Cliente!$B$28)+Dados_Cliente!$B$7,F120)</f>
        <v/>
      </c>
    </row>
    <row r="122">
      <c r="A122">
        <f>A121+1</f>
        <v/>
      </c>
      <c r="B122">
        <f>A122/12</f>
        <v/>
      </c>
      <c r="C122" s="17">
        <f>IF($A122&lt;=Dados_Cliente!$B$8*12,C121+Dados_Cliente!$B$7,C121)</f>
        <v/>
      </c>
      <c r="D122" s="17">
        <f>IF($A122&lt;=Dados_Cliente!$B$8*12,D121*(1+Dados_Cliente!$B$24)+Dados_Cliente!$B$7,D121)</f>
        <v/>
      </c>
      <c r="E122" s="17">
        <f>IF($A122&lt;=Dados_Cliente!$B$8*12,E121*(1+Dados_Cliente!$B$27)+Dados_Cliente!$B$7,E121)</f>
        <v/>
      </c>
      <c r="F122" s="17">
        <f>IF($A122&lt;=Dados_Cliente!$B$8*12,F121*(1+Dados_Cliente!$B$28)+Dados_Cliente!$B$7,F121)</f>
        <v/>
      </c>
    </row>
    <row r="123">
      <c r="A123">
        <f>A122+1</f>
        <v/>
      </c>
      <c r="B123">
        <f>A123/12</f>
        <v/>
      </c>
      <c r="C123" s="17">
        <f>IF($A123&lt;=Dados_Cliente!$B$8*12,C122+Dados_Cliente!$B$7,C122)</f>
        <v/>
      </c>
      <c r="D123" s="17">
        <f>IF($A123&lt;=Dados_Cliente!$B$8*12,D122*(1+Dados_Cliente!$B$24)+Dados_Cliente!$B$7,D122)</f>
        <v/>
      </c>
      <c r="E123" s="17">
        <f>IF($A123&lt;=Dados_Cliente!$B$8*12,E122*(1+Dados_Cliente!$B$27)+Dados_Cliente!$B$7,E122)</f>
        <v/>
      </c>
      <c r="F123" s="17">
        <f>IF($A123&lt;=Dados_Cliente!$B$8*12,F122*(1+Dados_Cliente!$B$28)+Dados_Cliente!$B$7,F122)</f>
        <v/>
      </c>
    </row>
    <row r="124">
      <c r="A124">
        <f>A123+1</f>
        <v/>
      </c>
      <c r="B124">
        <f>A124/12</f>
        <v/>
      </c>
      <c r="C124" s="17">
        <f>IF($A124&lt;=Dados_Cliente!$B$8*12,C123+Dados_Cliente!$B$7,C123)</f>
        <v/>
      </c>
      <c r="D124" s="17">
        <f>IF($A124&lt;=Dados_Cliente!$B$8*12,D123*(1+Dados_Cliente!$B$24)+Dados_Cliente!$B$7,D123)</f>
        <v/>
      </c>
      <c r="E124" s="17">
        <f>IF($A124&lt;=Dados_Cliente!$B$8*12,E123*(1+Dados_Cliente!$B$27)+Dados_Cliente!$B$7,E123)</f>
        <v/>
      </c>
      <c r="F124" s="17">
        <f>IF($A124&lt;=Dados_Cliente!$B$8*12,F123*(1+Dados_Cliente!$B$28)+Dados_Cliente!$B$7,F123)</f>
        <v/>
      </c>
    </row>
    <row r="125">
      <c r="A125">
        <f>A124+1</f>
        <v/>
      </c>
      <c r="B125">
        <f>A125/12</f>
        <v/>
      </c>
      <c r="C125" s="17">
        <f>IF($A125&lt;=Dados_Cliente!$B$8*12,C124+Dados_Cliente!$B$7,C124)</f>
        <v/>
      </c>
      <c r="D125" s="17">
        <f>IF($A125&lt;=Dados_Cliente!$B$8*12,D124*(1+Dados_Cliente!$B$24)+Dados_Cliente!$B$7,D124)</f>
        <v/>
      </c>
      <c r="E125" s="17">
        <f>IF($A125&lt;=Dados_Cliente!$B$8*12,E124*(1+Dados_Cliente!$B$27)+Dados_Cliente!$B$7,E124)</f>
        <v/>
      </c>
      <c r="F125" s="17">
        <f>IF($A125&lt;=Dados_Cliente!$B$8*12,F124*(1+Dados_Cliente!$B$28)+Dados_Cliente!$B$7,F124)</f>
        <v/>
      </c>
    </row>
    <row r="126">
      <c r="A126">
        <f>A125+1</f>
        <v/>
      </c>
      <c r="B126">
        <f>A126/12</f>
        <v/>
      </c>
      <c r="C126" s="17">
        <f>IF($A126&lt;=Dados_Cliente!$B$8*12,C125+Dados_Cliente!$B$7,C125)</f>
        <v/>
      </c>
      <c r="D126" s="17">
        <f>IF($A126&lt;=Dados_Cliente!$B$8*12,D125*(1+Dados_Cliente!$B$24)+Dados_Cliente!$B$7,D125)</f>
        <v/>
      </c>
      <c r="E126" s="17">
        <f>IF($A126&lt;=Dados_Cliente!$B$8*12,E125*(1+Dados_Cliente!$B$27)+Dados_Cliente!$B$7,E125)</f>
        <v/>
      </c>
      <c r="F126" s="17">
        <f>IF($A126&lt;=Dados_Cliente!$B$8*12,F125*(1+Dados_Cliente!$B$28)+Dados_Cliente!$B$7,F125)</f>
        <v/>
      </c>
    </row>
    <row r="127">
      <c r="A127">
        <f>A126+1</f>
        <v/>
      </c>
      <c r="B127">
        <f>A127/12</f>
        <v/>
      </c>
      <c r="C127" s="17">
        <f>IF($A127&lt;=Dados_Cliente!$B$8*12,C126+Dados_Cliente!$B$7,C126)</f>
        <v/>
      </c>
      <c r="D127" s="17">
        <f>IF($A127&lt;=Dados_Cliente!$B$8*12,D126*(1+Dados_Cliente!$B$24)+Dados_Cliente!$B$7,D126)</f>
        <v/>
      </c>
      <c r="E127" s="17">
        <f>IF($A127&lt;=Dados_Cliente!$B$8*12,E126*(1+Dados_Cliente!$B$27)+Dados_Cliente!$B$7,E126)</f>
        <v/>
      </c>
      <c r="F127" s="17">
        <f>IF($A127&lt;=Dados_Cliente!$B$8*12,F126*(1+Dados_Cliente!$B$28)+Dados_Cliente!$B$7,F126)</f>
        <v/>
      </c>
    </row>
    <row r="128">
      <c r="A128">
        <f>A127+1</f>
        <v/>
      </c>
      <c r="B128">
        <f>A128/12</f>
        <v/>
      </c>
      <c r="C128" s="17">
        <f>IF($A128&lt;=Dados_Cliente!$B$8*12,C127+Dados_Cliente!$B$7,C127)</f>
        <v/>
      </c>
      <c r="D128" s="17">
        <f>IF($A128&lt;=Dados_Cliente!$B$8*12,D127*(1+Dados_Cliente!$B$24)+Dados_Cliente!$B$7,D127)</f>
        <v/>
      </c>
      <c r="E128" s="17">
        <f>IF($A128&lt;=Dados_Cliente!$B$8*12,E127*(1+Dados_Cliente!$B$27)+Dados_Cliente!$B$7,E127)</f>
        <v/>
      </c>
      <c r="F128" s="17">
        <f>IF($A128&lt;=Dados_Cliente!$B$8*12,F127*(1+Dados_Cliente!$B$28)+Dados_Cliente!$B$7,F127)</f>
        <v/>
      </c>
    </row>
    <row r="129">
      <c r="A129">
        <f>A128+1</f>
        <v/>
      </c>
      <c r="B129">
        <f>A129/12</f>
        <v/>
      </c>
      <c r="C129" s="17">
        <f>IF($A129&lt;=Dados_Cliente!$B$8*12,C128+Dados_Cliente!$B$7,C128)</f>
        <v/>
      </c>
      <c r="D129" s="17">
        <f>IF($A129&lt;=Dados_Cliente!$B$8*12,D128*(1+Dados_Cliente!$B$24)+Dados_Cliente!$B$7,D128)</f>
        <v/>
      </c>
      <c r="E129" s="17">
        <f>IF($A129&lt;=Dados_Cliente!$B$8*12,E128*(1+Dados_Cliente!$B$27)+Dados_Cliente!$B$7,E128)</f>
        <v/>
      </c>
      <c r="F129" s="17">
        <f>IF($A129&lt;=Dados_Cliente!$B$8*12,F128*(1+Dados_Cliente!$B$28)+Dados_Cliente!$B$7,F128)</f>
        <v/>
      </c>
    </row>
    <row r="130">
      <c r="A130">
        <f>A129+1</f>
        <v/>
      </c>
      <c r="B130">
        <f>A130/12</f>
        <v/>
      </c>
      <c r="C130" s="17">
        <f>IF($A130&lt;=Dados_Cliente!$B$8*12,C129+Dados_Cliente!$B$7,C129)</f>
        <v/>
      </c>
      <c r="D130" s="17">
        <f>IF($A130&lt;=Dados_Cliente!$B$8*12,D129*(1+Dados_Cliente!$B$24)+Dados_Cliente!$B$7,D129)</f>
        <v/>
      </c>
      <c r="E130" s="17">
        <f>IF($A130&lt;=Dados_Cliente!$B$8*12,E129*(1+Dados_Cliente!$B$27)+Dados_Cliente!$B$7,E129)</f>
        <v/>
      </c>
      <c r="F130" s="17">
        <f>IF($A130&lt;=Dados_Cliente!$B$8*12,F129*(1+Dados_Cliente!$B$28)+Dados_Cliente!$B$7,F129)</f>
        <v/>
      </c>
    </row>
    <row r="131">
      <c r="A131">
        <f>A130+1</f>
        <v/>
      </c>
      <c r="B131">
        <f>A131/12</f>
        <v/>
      </c>
      <c r="C131" s="17">
        <f>IF($A131&lt;=Dados_Cliente!$B$8*12,C130+Dados_Cliente!$B$7,C130)</f>
        <v/>
      </c>
      <c r="D131" s="17">
        <f>IF($A131&lt;=Dados_Cliente!$B$8*12,D130*(1+Dados_Cliente!$B$24)+Dados_Cliente!$B$7,D130)</f>
        <v/>
      </c>
      <c r="E131" s="17">
        <f>IF($A131&lt;=Dados_Cliente!$B$8*12,E130*(1+Dados_Cliente!$B$27)+Dados_Cliente!$B$7,E130)</f>
        <v/>
      </c>
      <c r="F131" s="17">
        <f>IF($A131&lt;=Dados_Cliente!$B$8*12,F130*(1+Dados_Cliente!$B$28)+Dados_Cliente!$B$7,F130)</f>
        <v/>
      </c>
    </row>
    <row r="132">
      <c r="A132">
        <f>A131+1</f>
        <v/>
      </c>
      <c r="B132">
        <f>A132/12</f>
        <v/>
      </c>
      <c r="C132" s="17">
        <f>IF($A132&lt;=Dados_Cliente!$B$8*12,C131+Dados_Cliente!$B$7,C131)</f>
        <v/>
      </c>
      <c r="D132" s="17">
        <f>IF($A132&lt;=Dados_Cliente!$B$8*12,D131*(1+Dados_Cliente!$B$24)+Dados_Cliente!$B$7,D131)</f>
        <v/>
      </c>
      <c r="E132" s="17">
        <f>IF($A132&lt;=Dados_Cliente!$B$8*12,E131*(1+Dados_Cliente!$B$27)+Dados_Cliente!$B$7,E131)</f>
        <v/>
      </c>
      <c r="F132" s="17">
        <f>IF($A132&lt;=Dados_Cliente!$B$8*12,F131*(1+Dados_Cliente!$B$28)+Dados_Cliente!$B$7,F131)</f>
        <v/>
      </c>
    </row>
    <row r="133">
      <c r="A133">
        <f>A132+1</f>
        <v/>
      </c>
      <c r="B133">
        <f>A133/12</f>
        <v/>
      </c>
      <c r="C133" s="17">
        <f>IF($A133&lt;=Dados_Cliente!$B$8*12,C132+Dados_Cliente!$B$7,C132)</f>
        <v/>
      </c>
      <c r="D133" s="17">
        <f>IF($A133&lt;=Dados_Cliente!$B$8*12,D132*(1+Dados_Cliente!$B$24)+Dados_Cliente!$B$7,D132)</f>
        <v/>
      </c>
      <c r="E133" s="17">
        <f>IF($A133&lt;=Dados_Cliente!$B$8*12,E132*(1+Dados_Cliente!$B$27)+Dados_Cliente!$B$7,E132)</f>
        <v/>
      </c>
      <c r="F133" s="17">
        <f>IF($A133&lt;=Dados_Cliente!$B$8*12,F132*(1+Dados_Cliente!$B$28)+Dados_Cliente!$B$7,F132)</f>
        <v/>
      </c>
    </row>
    <row r="134">
      <c r="A134">
        <f>A133+1</f>
        <v/>
      </c>
      <c r="B134">
        <f>A134/12</f>
        <v/>
      </c>
      <c r="C134" s="17">
        <f>IF($A134&lt;=Dados_Cliente!$B$8*12,C133+Dados_Cliente!$B$7,C133)</f>
        <v/>
      </c>
      <c r="D134" s="17">
        <f>IF($A134&lt;=Dados_Cliente!$B$8*12,D133*(1+Dados_Cliente!$B$24)+Dados_Cliente!$B$7,D133)</f>
        <v/>
      </c>
      <c r="E134" s="17">
        <f>IF($A134&lt;=Dados_Cliente!$B$8*12,E133*(1+Dados_Cliente!$B$27)+Dados_Cliente!$B$7,E133)</f>
        <v/>
      </c>
      <c r="F134" s="17">
        <f>IF($A134&lt;=Dados_Cliente!$B$8*12,F133*(1+Dados_Cliente!$B$28)+Dados_Cliente!$B$7,F133)</f>
        <v/>
      </c>
    </row>
    <row r="135">
      <c r="A135">
        <f>A134+1</f>
        <v/>
      </c>
      <c r="B135">
        <f>A135/12</f>
        <v/>
      </c>
      <c r="C135" s="17">
        <f>IF($A135&lt;=Dados_Cliente!$B$8*12,C134+Dados_Cliente!$B$7,C134)</f>
        <v/>
      </c>
      <c r="D135" s="17">
        <f>IF($A135&lt;=Dados_Cliente!$B$8*12,D134*(1+Dados_Cliente!$B$24)+Dados_Cliente!$B$7,D134)</f>
        <v/>
      </c>
      <c r="E135" s="17">
        <f>IF($A135&lt;=Dados_Cliente!$B$8*12,E134*(1+Dados_Cliente!$B$27)+Dados_Cliente!$B$7,E134)</f>
        <v/>
      </c>
      <c r="F135" s="17">
        <f>IF($A135&lt;=Dados_Cliente!$B$8*12,F134*(1+Dados_Cliente!$B$28)+Dados_Cliente!$B$7,F134)</f>
        <v/>
      </c>
    </row>
    <row r="136">
      <c r="A136">
        <f>A135+1</f>
        <v/>
      </c>
      <c r="B136">
        <f>A136/12</f>
        <v/>
      </c>
      <c r="C136" s="17">
        <f>IF($A136&lt;=Dados_Cliente!$B$8*12,C135+Dados_Cliente!$B$7,C135)</f>
        <v/>
      </c>
      <c r="D136" s="17">
        <f>IF($A136&lt;=Dados_Cliente!$B$8*12,D135*(1+Dados_Cliente!$B$24)+Dados_Cliente!$B$7,D135)</f>
        <v/>
      </c>
      <c r="E136" s="17">
        <f>IF($A136&lt;=Dados_Cliente!$B$8*12,E135*(1+Dados_Cliente!$B$27)+Dados_Cliente!$B$7,E135)</f>
        <v/>
      </c>
      <c r="F136" s="17">
        <f>IF($A136&lt;=Dados_Cliente!$B$8*12,F135*(1+Dados_Cliente!$B$28)+Dados_Cliente!$B$7,F135)</f>
        <v/>
      </c>
    </row>
    <row r="137">
      <c r="A137">
        <f>A136+1</f>
        <v/>
      </c>
      <c r="B137">
        <f>A137/12</f>
        <v/>
      </c>
      <c r="C137" s="17">
        <f>IF($A137&lt;=Dados_Cliente!$B$8*12,C136+Dados_Cliente!$B$7,C136)</f>
        <v/>
      </c>
      <c r="D137" s="17">
        <f>IF($A137&lt;=Dados_Cliente!$B$8*12,D136*(1+Dados_Cliente!$B$24)+Dados_Cliente!$B$7,D136)</f>
        <v/>
      </c>
      <c r="E137" s="17">
        <f>IF($A137&lt;=Dados_Cliente!$B$8*12,E136*(1+Dados_Cliente!$B$27)+Dados_Cliente!$B$7,E136)</f>
        <v/>
      </c>
      <c r="F137" s="17">
        <f>IF($A137&lt;=Dados_Cliente!$B$8*12,F136*(1+Dados_Cliente!$B$28)+Dados_Cliente!$B$7,F136)</f>
        <v/>
      </c>
    </row>
    <row r="138">
      <c r="A138">
        <f>A137+1</f>
        <v/>
      </c>
      <c r="B138">
        <f>A138/12</f>
        <v/>
      </c>
      <c r="C138" s="17">
        <f>IF($A138&lt;=Dados_Cliente!$B$8*12,C137+Dados_Cliente!$B$7,C137)</f>
        <v/>
      </c>
      <c r="D138" s="17">
        <f>IF($A138&lt;=Dados_Cliente!$B$8*12,D137*(1+Dados_Cliente!$B$24)+Dados_Cliente!$B$7,D137)</f>
        <v/>
      </c>
      <c r="E138" s="17">
        <f>IF($A138&lt;=Dados_Cliente!$B$8*12,E137*(1+Dados_Cliente!$B$27)+Dados_Cliente!$B$7,E137)</f>
        <v/>
      </c>
      <c r="F138" s="17">
        <f>IF($A138&lt;=Dados_Cliente!$B$8*12,F137*(1+Dados_Cliente!$B$28)+Dados_Cliente!$B$7,F137)</f>
        <v/>
      </c>
    </row>
    <row r="139">
      <c r="A139">
        <f>A138+1</f>
        <v/>
      </c>
      <c r="B139">
        <f>A139/12</f>
        <v/>
      </c>
      <c r="C139" s="17">
        <f>IF($A139&lt;=Dados_Cliente!$B$8*12,C138+Dados_Cliente!$B$7,C138)</f>
        <v/>
      </c>
      <c r="D139" s="17">
        <f>IF($A139&lt;=Dados_Cliente!$B$8*12,D138*(1+Dados_Cliente!$B$24)+Dados_Cliente!$B$7,D138)</f>
        <v/>
      </c>
      <c r="E139" s="17">
        <f>IF($A139&lt;=Dados_Cliente!$B$8*12,E138*(1+Dados_Cliente!$B$27)+Dados_Cliente!$B$7,E138)</f>
        <v/>
      </c>
      <c r="F139" s="17">
        <f>IF($A139&lt;=Dados_Cliente!$B$8*12,F138*(1+Dados_Cliente!$B$28)+Dados_Cliente!$B$7,F138)</f>
        <v/>
      </c>
    </row>
    <row r="140">
      <c r="A140">
        <f>A139+1</f>
        <v/>
      </c>
      <c r="B140">
        <f>A140/12</f>
        <v/>
      </c>
      <c r="C140" s="17">
        <f>IF($A140&lt;=Dados_Cliente!$B$8*12,C139+Dados_Cliente!$B$7,C139)</f>
        <v/>
      </c>
      <c r="D140" s="17">
        <f>IF($A140&lt;=Dados_Cliente!$B$8*12,D139*(1+Dados_Cliente!$B$24)+Dados_Cliente!$B$7,D139)</f>
        <v/>
      </c>
      <c r="E140" s="17">
        <f>IF($A140&lt;=Dados_Cliente!$B$8*12,E139*(1+Dados_Cliente!$B$27)+Dados_Cliente!$B$7,E139)</f>
        <v/>
      </c>
      <c r="F140" s="17">
        <f>IF($A140&lt;=Dados_Cliente!$B$8*12,F139*(1+Dados_Cliente!$B$28)+Dados_Cliente!$B$7,F139)</f>
        <v/>
      </c>
    </row>
    <row r="141">
      <c r="A141">
        <f>A140+1</f>
        <v/>
      </c>
      <c r="B141">
        <f>A141/12</f>
        <v/>
      </c>
      <c r="C141" s="17">
        <f>IF($A141&lt;=Dados_Cliente!$B$8*12,C140+Dados_Cliente!$B$7,C140)</f>
        <v/>
      </c>
      <c r="D141" s="17">
        <f>IF($A141&lt;=Dados_Cliente!$B$8*12,D140*(1+Dados_Cliente!$B$24)+Dados_Cliente!$B$7,D140)</f>
        <v/>
      </c>
      <c r="E141" s="17">
        <f>IF($A141&lt;=Dados_Cliente!$B$8*12,E140*(1+Dados_Cliente!$B$27)+Dados_Cliente!$B$7,E140)</f>
        <v/>
      </c>
      <c r="F141" s="17">
        <f>IF($A141&lt;=Dados_Cliente!$B$8*12,F140*(1+Dados_Cliente!$B$28)+Dados_Cliente!$B$7,F140)</f>
        <v/>
      </c>
    </row>
    <row r="142">
      <c r="A142">
        <f>A141+1</f>
        <v/>
      </c>
      <c r="B142">
        <f>A142/12</f>
        <v/>
      </c>
      <c r="C142" s="17">
        <f>IF($A142&lt;=Dados_Cliente!$B$8*12,C141+Dados_Cliente!$B$7,C141)</f>
        <v/>
      </c>
      <c r="D142" s="17">
        <f>IF($A142&lt;=Dados_Cliente!$B$8*12,D141*(1+Dados_Cliente!$B$24)+Dados_Cliente!$B$7,D141)</f>
        <v/>
      </c>
      <c r="E142" s="17">
        <f>IF($A142&lt;=Dados_Cliente!$B$8*12,E141*(1+Dados_Cliente!$B$27)+Dados_Cliente!$B$7,E141)</f>
        <v/>
      </c>
      <c r="F142" s="17">
        <f>IF($A142&lt;=Dados_Cliente!$B$8*12,F141*(1+Dados_Cliente!$B$28)+Dados_Cliente!$B$7,F141)</f>
        <v/>
      </c>
    </row>
    <row r="143">
      <c r="A143">
        <f>A142+1</f>
        <v/>
      </c>
      <c r="B143">
        <f>A143/12</f>
        <v/>
      </c>
      <c r="C143" s="17">
        <f>IF($A143&lt;=Dados_Cliente!$B$8*12,C142+Dados_Cliente!$B$7,C142)</f>
        <v/>
      </c>
      <c r="D143" s="17">
        <f>IF($A143&lt;=Dados_Cliente!$B$8*12,D142*(1+Dados_Cliente!$B$24)+Dados_Cliente!$B$7,D142)</f>
        <v/>
      </c>
      <c r="E143" s="17">
        <f>IF($A143&lt;=Dados_Cliente!$B$8*12,E142*(1+Dados_Cliente!$B$27)+Dados_Cliente!$B$7,E142)</f>
        <v/>
      </c>
      <c r="F143" s="17">
        <f>IF($A143&lt;=Dados_Cliente!$B$8*12,F142*(1+Dados_Cliente!$B$28)+Dados_Cliente!$B$7,F142)</f>
        <v/>
      </c>
    </row>
    <row r="144">
      <c r="A144">
        <f>A143+1</f>
        <v/>
      </c>
      <c r="B144">
        <f>A144/12</f>
        <v/>
      </c>
      <c r="C144" s="17">
        <f>IF($A144&lt;=Dados_Cliente!$B$8*12,C143+Dados_Cliente!$B$7,C143)</f>
        <v/>
      </c>
      <c r="D144" s="17">
        <f>IF($A144&lt;=Dados_Cliente!$B$8*12,D143*(1+Dados_Cliente!$B$24)+Dados_Cliente!$B$7,D143)</f>
        <v/>
      </c>
      <c r="E144" s="17">
        <f>IF($A144&lt;=Dados_Cliente!$B$8*12,E143*(1+Dados_Cliente!$B$27)+Dados_Cliente!$B$7,E143)</f>
        <v/>
      </c>
      <c r="F144" s="17">
        <f>IF($A144&lt;=Dados_Cliente!$B$8*12,F143*(1+Dados_Cliente!$B$28)+Dados_Cliente!$B$7,F143)</f>
        <v/>
      </c>
    </row>
    <row r="145">
      <c r="A145">
        <f>A144+1</f>
        <v/>
      </c>
      <c r="B145">
        <f>A145/12</f>
        <v/>
      </c>
      <c r="C145" s="17">
        <f>IF($A145&lt;=Dados_Cliente!$B$8*12,C144+Dados_Cliente!$B$7,C144)</f>
        <v/>
      </c>
      <c r="D145" s="17">
        <f>IF($A145&lt;=Dados_Cliente!$B$8*12,D144*(1+Dados_Cliente!$B$24)+Dados_Cliente!$B$7,D144)</f>
        <v/>
      </c>
      <c r="E145" s="17">
        <f>IF($A145&lt;=Dados_Cliente!$B$8*12,E144*(1+Dados_Cliente!$B$27)+Dados_Cliente!$B$7,E144)</f>
        <v/>
      </c>
      <c r="F145" s="17">
        <f>IF($A145&lt;=Dados_Cliente!$B$8*12,F144*(1+Dados_Cliente!$B$28)+Dados_Cliente!$B$7,F144)</f>
        <v/>
      </c>
    </row>
    <row r="146">
      <c r="A146">
        <f>A145+1</f>
        <v/>
      </c>
      <c r="B146">
        <f>A146/12</f>
        <v/>
      </c>
      <c r="C146" s="17">
        <f>IF($A146&lt;=Dados_Cliente!$B$8*12,C145+Dados_Cliente!$B$7,C145)</f>
        <v/>
      </c>
      <c r="D146" s="17">
        <f>IF($A146&lt;=Dados_Cliente!$B$8*12,D145*(1+Dados_Cliente!$B$24)+Dados_Cliente!$B$7,D145)</f>
        <v/>
      </c>
      <c r="E146" s="17">
        <f>IF($A146&lt;=Dados_Cliente!$B$8*12,E145*(1+Dados_Cliente!$B$27)+Dados_Cliente!$B$7,E145)</f>
        <v/>
      </c>
      <c r="F146" s="17">
        <f>IF($A146&lt;=Dados_Cliente!$B$8*12,F145*(1+Dados_Cliente!$B$28)+Dados_Cliente!$B$7,F145)</f>
        <v/>
      </c>
    </row>
    <row r="147">
      <c r="A147">
        <f>A146+1</f>
        <v/>
      </c>
      <c r="B147">
        <f>A147/12</f>
        <v/>
      </c>
      <c r="C147" s="17">
        <f>IF($A147&lt;=Dados_Cliente!$B$8*12,C146+Dados_Cliente!$B$7,C146)</f>
        <v/>
      </c>
      <c r="D147" s="17">
        <f>IF($A147&lt;=Dados_Cliente!$B$8*12,D146*(1+Dados_Cliente!$B$24)+Dados_Cliente!$B$7,D146)</f>
        <v/>
      </c>
      <c r="E147" s="17">
        <f>IF($A147&lt;=Dados_Cliente!$B$8*12,E146*(1+Dados_Cliente!$B$27)+Dados_Cliente!$B$7,E146)</f>
        <v/>
      </c>
      <c r="F147" s="17">
        <f>IF($A147&lt;=Dados_Cliente!$B$8*12,F146*(1+Dados_Cliente!$B$28)+Dados_Cliente!$B$7,F146)</f>
        <v/>
      </c>
    </row>
    <row r="148">
      <c r="A148">
        <f>A147+1</f>
        <v/>
      </c>
      <c r="B148">
        <f>A148/12</f>
        <v/>
      </c>
      <c r="C148" s="17">
        <f>IF($A148&lt;=Dados_Cliente!$B$8*12,C147+Dados_Cliente!$B$7,C147)</f>
        <v/>
      </c>
      <c r="D148" s="17">
        <f>IF($A148&lt;=Dados_Cliente!$B$8*12,D147*(1+Dados_Cliente!$B$24)+Dados_Cliente!$B$7,D147)</f>
        <v/>
      </c>
      <c r="E148" s="17">
        <f>IF($A148&lt;=Dados_Cliente!$B$8*12,E147*(1+Dados_Cliente!$B$27)+Dados_Cliente!$B$7,E147)</f>
        <v/>
      </c>
      <c r="F148" s="17">
        <f>IF($A148&lt;=Dados_Cliente!$B$8*12,F147*(1+Dados_Cliente!$B$28)+Dados_Cliente!$B$7,F147)</f>
        <v/>
      </c>
    </row>
    <row r="149">
      <c r="A149">
        <f>A148+1</f>
        <v/>
      </c>
      <c r="B149">
        <f>A149/12</f>
        <v/>
      </c>
      <c r="C149" s="17">
        <f>IF($A149&lt;=Dados_Cliente!$B$8*12,C148+Dados_Cliente!$B$7,C148)</f>
        <v/>
      </c>
      <c r="D149" s="17">
        <f>IF($A149&lt;=Dados_Cliente!$B$8*12,D148*(1+Dados_Cliente!$B$24)+Dados_Cliente!$B$7,D148)</f>
        <v/>
      </c>
      <c r="E149" s="17">
        <f>IF($A149&lt;=Dados_Cliente!$B$8*12,E148*(1+Dados_Cliente!$B$27)+Dados_Cliente!$B$7,E148)</f>
        <v/>
      </c>
      <c r="F149" s="17">
        <f>IF($A149&lt;=Dados_Cliente!$B$8*12,F148*(1+Dados_Cliente!$B$28)+Dados_Cliente!$B$7,F148)</f>
        <v/>
      </c>
    </row>
    <row r="150">
      <c r="A150">
        <f>A149+1</f>
        <v/>
      </c>
      <c r="B150">
        <f>A150/12</f>
        <v/>
      </c>
      <c r="C150" s="17">
        <f>IF($A150&lt;=Dados_Cliente!$B$8*12,C149+Dados_Cliente!$B$7,C149)</f>
        <v/>
      </c>
      <c r="D150" s="17">
        <f>IF($A150&lt;=Dados_Cliente!$B$8*12,D149*(1+Dados_Cliente!$B$24)+Dados_Cliente!$B$7,D149)</f>
        <v/>
      </c>
      <c r="E150" s="17">
        <f>IF($A150&lt;=Dados_Cliente!$B$8*12,E149*(1+Dados_Cliente!$B$27)+Dados_Cliente!$B$7,E149)</f>
        <v/>
      </c>
      <c r="F150" s="17">
        <f>IF($A150&lt;=Dados_Cliente!$B$8*12,F149*(1+Dados_Cliente!$B$28)+Dados_Cliente!$B$7,F149)</f>
        <v/>
      </c>
    </row>
    <row r="151">
      <c r="A151">
        <f>A150+1</f>
        <v/>
      </c>
      <c r="B151">
        <f>A151/12</f>
        <v/>
      </c>
      <c r="C151" s="17">
        <f>IF($A151&lt;=Dados_Cliente!$B$8*12,C150+Dados_Cliente!$B$7,C150)</f>
        <v/>
      </c>
      <c r="D151" s="17">
        <f>IF($A151&lt;=Dados_Cliente!$B$8*12,D150*(1+Dados_Cliente!$B$24)+Dados_Cliente!$B$7,D150)</f>
        <v/>
      </c>
      <c r="E151" s="17">
        <f>IF($A151&lt;=Dados_Cliente!$B$8*12,E150*(1+Dados_Cliente!$B$27)+Dados_Cliente!$B$7,E150)</f>
        <v/>
      </c>
      <c r="F151" s="17">
        <f>IF($A151&lt;=Dados_Cliente!$B$8*12,F150*(1+Dados_Cliente!$B$28)+Dados_Cliente!$B$7,F150)</f>
        <v/>
      </c>
    </row>
    <row r="152">
      <c r="A152">
        <f>A151+1</f>
        <v/>
      </c>
      <c r="B152">
        <f>A152/12</f>
        <v/>
      </c>
      <c r="C152" s="17">
        <f>IF($A152&lt;=Dados_Cliente!$B$8*12,C151+Dados_Cliente!$B$7,C151)</f>
        <v/>
      </c>
      <c r="D152" s="17">
        <f>IF($A152&lt;=Dados_Cliente!$B$8*12,D151*(1+Dados_Cliente!$B$24)+Dados_Cliente!$B$7,D151)</f>
        <v/>
      </c>
      <c r="E152" s="17">
        <f>IF($A152&lt;=Dados_Cliente!$B$8*12,E151*(1+Dados_Cliente!$B$27)+Dados_Cliente!$B$7,E151)</f>
        <v/>
      </c>
      <c r="F152" s="17">
        <f>IF($A152&lt;=Dados_Cliente!$B$8*12,F151*(1+Dados_Cliente!$B$28)+Dados_Cliente!$B$7,F151)</f>
        <v/>
      </c>
    </row>
    <row r="153">
      <c r="A153">
        <f>A152+1</f>
        <v/>
      </c>
      <c r="B153">
        <f>A153/12</f>
        <v/>
      </c>
      <c r="C153" s="17">
        <f>IF($A153&lt;=Dados_Cliente!$B$8*12,C152+Dados_Cliente!$B$7,C152)</f>
        <v/>
      </c>
      <c r="D153" s="17">
        <f>IF($A153&lt;=Dados_Cliente!$B$8*12,D152*(1+Dados_Cliente!$B$24)+Dados_Cliente!$B$7,D152)</f>
        <v/>
      </c>
      <c r="E153" s="17">
        <f>IF($A153&lt;=Dados_Cliente!$B$8*12,E152*(1+Dados_Cliente!$B$27)+Dados_Cliente!$B$7,E152)</f>
        <v/>
      </c>
      <c r="F153" s="17">
        <f>IF($A153&lt;=Dados_Cliente!$B$8*12,F152*(1+Dados_Cliente!$B$28)+Dados_Cliente!$B$7,F152)</f>
        <v/>
      </c>
    </row>
    <row r="154">
      <c r="A154">
        <f>A153+1</f>
        <v/>
      </c>
      <c r="B154">
        <f>A154/12</f>
        <v/>
      </c>
      <c r="C154" s="17">
        <f>IF($A154&lt;=Dados_Cliente!$B$8*12,C153+Dados_Cliente!$B$7,C153)</f>
        <v/>
      </c>
      <c r="D154" s="17">
        <f>IF($A154&lt;=Dados_Cliente!$B$8*12,D153*(1+Dados_Cliente!$B$24)+Dados_Cliente!$B$7,D153)</f>
        <v/>
      </c>
      <c r="E154" s="17">
        <f>IF($A154&lt;=Dados_Cliente!$B$8*12,E153*(1+Dados_Cliente!$B$27)+Dados_Cliente!$B$7,E153)</f>
        <v/>
      </c>
      <c r="F154" s="17">
        <f>IF($A154&lt;=Dados_Cliente!$B$8*12,F153*(1+Dados_Cliente!$B$28)+Dados_Cliente!$B$7,F153)</f>
        <v/>
      </c>
    </row>
    <row r="155">
      <c r="A155">
        <f>A154+1</f>
        <v/>
      </c>
      <c r="B155">
        <f>A155/12</f>
        <v/>
      </c>
      <c r="C155" s="17">
        <f>IF($A155&lt;=Dados_Cliente!$B$8*12,C154+Dados_Cliente!$B$7,C154)</f>
        <v/>
      </c>
      <c r="D155" s="17">
        <f>IF($A155&lt;=Dados_Cliente!$B$8*12,D154*(1+Dados_Cliente!$B$24)+Dados_Cliente!$B$7,D154)</f>
        <v/>
      </c>
      <c r="E155" s="17">
        <f>IF($A155&lt;=Dados_Cliente!$B$8*12,E154*(1+Dados_Cliente!$B$27)+Dados_Cliente!$B$7,E154)</f>
        <v/>
      </c>
      <c r="F155" s="17">
        <f>IF($A155&lt;=Dados_Cliente!$B$8*12,F154*(1+Dados_Cliente!$B$28)+Dados_Cliente!$B$7,F154)</f>
        <v/>
      </c>
    </row>
    <row r="156">
      <c r="A156">
        <f>A155+1</f>
        <v/>
      </c>
      <c r="B156">
        <f>A156/12</f>
        <v/>
      </c>
      <c r="C156" s="17">
        <f>IF($A156&lt;=Dados_Cliente!$B$8*12,C155+Dados_Cliente!$B$7,C155)</f>
        <v/>
      </c>
      <c r="D156" s="17">
        <f>IF($A156&lt;=Dados_Cliente!$B$8*12,D155*(1+Dados_Cliente!$B$24)+Dados_Cliente!$B$7,D155)</f>
        <v/>
      </c>
      <c r="E156" s="17">
        <f>IF($A156&lt;=Dados_Cliente!$B$8*12,E155*(1+Dados_Cliente!$B$27)+Dados_Cliente!$B$7,E155)</f>
        <v/>
      </c>
      <c r="F156" s="17">
        <f>IF($A156&lt;=Dados_Cliente!$B$8*12,F155*(1+Dados_Cliente!$B$28)+Dados_Cliente!$B$7,F155)</f>
        <v/>
      </c>
    </row>
    <row r="157">
      <c r="A157">
        <f>A156+1</f>
        <v/>
      </c>
      <c r="B157">
        <f>A157/12</f>
        <v/>
      </c>
      <c r="C157" s="17">
        <f>IF($A157&lt;=Dados_Cliente!$B$8*12,C156+Dados_Cliente!$B$7,C156)</f>
        <v/>
      </c>
      <c r="D157" s="17">
        <f>IF($A157&lt;=Dados_Cliente!$B$8*12,D156*(1+Dados_Cliente!$B$24)+Dados_Cliente!$B$7,D156)</f>
        <v/>
      </c>
      <c r="E157" s="17">
        <f>IF($A157&lt;=Dados_Cliente!$B$8*12,E156*(1+Dados_Cliente!$B$27)+Dados_Cliente!$B$7,E156)</f>
        <v/>
      </c>
      <c r="F157" s="17">
        <f>IF($A157&lt;=Dados_Cliente!$B$8*12,F156*(1+Dados_Cliente!$B$28)+Dados_Cliente!$B$7,F156)</f>
        <v/>
      </c>
    </row>
    <row r="158">
      <c r="A158">
        <f>A157+1</f>
        <v/>
      </c>
      <c r="B158">
        <f>A158/12</f>
        <v/>
      </c>
      <c r="C158" s="17">
        <f>IF($A158&lt;=Dados_Cliente!$B$8*12,C157+Dados_Cliente!$B$7,C157)</f>
        <v/>
      </c>
      <c r="D158" s="17">
        <f>IF($A158&lt;=Dados_Cliente!$B$8*12,D157*(1+Dados_Cliente!$B$24)+Dados_Cliente!$B$7,D157)</f>
        <v/>
      </c>
      <c r="E158" s="17">
        <f>IF($A158&lt;=Dados_Cliente!$B$8*12,E157*(1+Dados_Cliente!$B$27)+Dados_Cliente!$B$7,E157)</f>
        <v/>
      </c>
      <c r="F158" s="17">
        <f>IF($A158&lt;=Dados_Cliente!$B$8*12,F157*(1+Dados_Cliente!$B$28)+Dados_Cliente!$B$7,F157)</f>
        <v/>
      </c>
    </row>
    <row r="159">
      <c r="A159">
        <f>A158+1</f>
        <v/>
      </c>
      <c r="B159">
        <f>A159/12</f>
        <v/>
      </c>
      <c r="C159" s="17">
        <f>IF($A159&lt;=Dados_Cliente!$B$8*12,C158+Dados_Cliente!$B$7,C158)</f>
        <v/>
      </c>
      <c r="D159" s="17">
        <f>IF($A159&lt;=Dados_Cliente!$B$8*12,D158*(1+Dados_Cliente!$B$24)+Dados_Cliente!$B$7,D158)</f>
        <v/>
      </c>
      <c r="E159" s="17">
        <f>IF($A159&lt;=Dados_Cliente!$B$8*12,E158*(1+Dados_Cliente!$B$27)+Dados_Cliente!$B$7,E158)</f>
        <v/>
      </c>
      <c r="F159" s="17">
        <f>IF($A159&lt;=Dados_Cliente!$B$8*12,F158*(1+Dados_Cliente!$B$28)+Dados_Cliente!$B$7,F158)</f>
        <v/>
      </c>
    </row>
    <row r="160">
      <c r="A160">
        <f>A159+1</f>
        <v/>
      </c>
      <c r="B160">
        <f>A160/12</f>
        <v/>
      </c>
      <c r="C160" s="17">
        <f>IF($A160&lt;=Dados_Cliente!$B$8*12,C159+Dados_Cliente!$B$7,C159)</f>
        <v/>
      </c>
      <c r="D160" s="17">
        <f>IF($A160&lt;=Dados_Cliente!$B$8*12,D159*(1+Dados_Cliente!$B$24)+Dados_Cliente!$B$7,D159)</f>
        <v/>
      </c>
      <c r="E160" s="17">
        <f>IF($A160&lt;=Dados_Cliente!$B$8*12,E159*(1+Dados_Cliente!$B$27)+Dados_Cliente!$B$7,E159)</f>
        <v/>
      </c>
      <c r="F160" s="17">
        <f>IF($A160&lt;=Dados_Cliente!$B$8*12,F159*(1+Dados_Cliente!$B$28)+Dados_Cliente!$B$7,F159)</f>
        <v/>
      </c>
    </row>
    <row r="161">
      <c r="A161">
        <f>A160+1</f>
        <v/>
      </c>
      <c r="B161">
        <f>A161/12</f>
        <v/>
      </c>
      <c r="C161" s="17">
        <f>IF($A161&lt;=Dados_Cliente!$B$8*12,C160+Dados_Cliente!$B$7,C160)</f>
        <v/>
      </c>
      <c r="D161" s="17">
        <f>IF($A161&lt;=Dados_Cliente!$B$8*12,D160*(1+Dados_Cliente!$B$24)+Dados_Cliente!$B$7,D160)</f>
        <v/>
      </c>
      <c r="E161" s="17">
        <f>IF($A161&lt;=Dados_Cliente!$B$8*12,E160*(1+Dados_Cliente!$B$27)+Dados_Cliente!$B$7,E160)</f>
        <v/>
      </c>
      <c r="F161" s="17">
        <f>IF($A161&lt;=Dados_Cliente!$B$8*12,F160*(1+Dados_Cliente!$B$28)+Dados_Cliente!$B$7,F160)</f>
        <v/>
      </c>
    </row>
    <row r="162">
      <c r="A162">
        <f>A161+1</f>
        <v/>
      </c>
      <c r="B162">
        <f>A162/12</f>
        <v/>
      </c>
      <c r="C162" s="17">
        <f>IF($A162&lt;=Dados_Cliente!$B$8*12,C161+Dados_Cliente!$B$7,C161)</f>
        <v/>
      </c>
      <c r="D162" s="17">
        <f>IF($A162&lt;=Dados_Cliente!$B$8*12,D161*(1+Dados_Cliente!$B$24)+Dados_Cliente!$B$7,D161)</f>
        <v/>
      </c>
      <c r="E162" s="17">
        <f>IF($A162&lt;=Dados_Cliente!$B$8*12,E161*(1+Dados_Cliente!$B$27)+Dados_Cliente!$B$7,E161)</f>
        <v/>
      </c>
      <c r="F162" s="17">
        <f>IF($A162&lt;=Dados_Cliente!$B$8*12,F161*(1+Dados_Cliente!$B$28)+Dados_Cliente!$B$7,F161)</f>
        <v/>
      </c>
    </row>
    <row r="163">
      <c r="A163">
        <f>A162+1</f>
        <v/>
      </c>
      <c r="B163">
        <f>A163/12</f>
        <v/>
      </c>
      <c r="C163" s="17">
        <f>IF($A163&lt;=Dados_Cliente!$B$8*12,C162+Dados_Cliente!$B$7,C162)</f>
        <v/>
      </c>
      <c r="D163" s="17">
        <f>IF($A163&lt;=Dados_Cliente!$B$8*12,D162*(1+Dados_Cliente!$B$24)+Dados_Cliente!$B$7,D162)</f>
        <v/>
      </c>
      <c r="E163" s="17">
        <f>IF($A163&lt;=Dados_Cliente!$B$8*12,E162*(1+Dados_Cliente!$B$27)+Dados_Cliente!$B$7,E162)</f>
        <v/>
      </c>
      <c r="F163" s="17">
        <f>IF($A163&lt;=Dados_Cliente!$B$8*12,F162*(1+Dados_Cliente!$B$28)+Dados_Cliente!$B$7,F162)</f>
        <v/>
      </c>
    </row>
    <row r="164">
      <c r="A164">
        <f>A163+1</f>
        <v/>
      </c>
      <c r="B164">
        <f>A164/12</f>
        <v/>
      </c>
      <c r="C164" s="17">
        <f>IF($A164&lt;=Dados_Cliente!$B$8*12,C163+Dados_Cliente!$B$7,C163)</f>
        <v/>
      </c>
      <c r="D164" s="17">
        <f>IF($A164&lt;=Dados_Cliente!$B$8*12,D163*(1+Dados_Cliente!$B$24)+Dados_Cliente!$B$7,D163)</f>
        <v/>
      </c>
      <c r="E164" s="17">
        <f>IF($A164&lt;=Dados_Cliente!$B$8*12,E163*(1+Dados_Cliente!$B$27)+Dados_Cliente!$B$7,E163)</f>
        <v/>
      </c>
      <c r="F164" s="17">
        <f>IF($A164&lt;=Dados_Cliente!$B$8*12,F163*(1+Dados_Cliente!$B$28)+Dados_Cliente!$B$7,F163)</f>
        <v/>
      </c>
    </row>
    <row r="165">
      <c r="A165">
        <f>A164+1</f>
        <v/>
      </c>
      <c r="B165">
        <f>A165/12</f>
        <v/>
      </c>
      <c r="C165" s="17">
        <f>IF($A165&lt;=Dados_Cliente!$B$8*12,C164+Dados_Cliente!$B$7,C164)</f>
        <v/>
      </c>
      <c r="D165" s="17">
        <f>IF($A165&lt;=Dados_Cliente!$B$8*12,D164*(1+Dados_Cliente!$B$24)+Dados_Cliente!$B$7,D164)</f>
        <v/>
      </c>
      <c r="E165" s="17">
        <f>IF($A165&lt;=Dados_Cliente!$B$8*12,E164*(1+Dados_Cliente!$B$27)+Dados_Cliente!$B$7,E164)</f>
        <v/>
      </c>
      <c r="F165" s="17">
        <f>IF($A165&lt;=Dados_Cliente!$B$8*12,F164*(1+Dados_Cliente!$B$28)+Dados_Cliente!$B$7,F164)</f>
        <v/>
      </c>
    </row>
    <row r="166">
      <c r="A166">
        <f>A165+1</f>
        <v/>
      </c>
      <c r="B166">
        <f>A166/12</f>
        <v/>
      </c>
      <c r="C166" s="17">
        <f>IF($A166&lt;=Dados_Cliente!$B$8*12,C165+Dados_Cliente!$B$7,C165)</f>
        <v/>
      </c>
      <c r="D166" s="17">
        <f>IF($A166&lt;=Dados_Cliente!$B$8*12,D165*(1+Dados_Cliente!$B$24)+Dados_Cliente!$B$7,D165)</f>
        <v/>
      </c>
      <c r="E166" s="17">
        <f>IF($A166&lt;=Dados_Cliente!$B$8*12,E165*(1+Dados_Cliente!$B$27)+Dados_Cliente!$B$7,E165)</f>
        <v/>
      </c>
      <c r="F166" s="17">
        <f>IF($A166&lt;=Dados_Cliente!$B$8*12,F165*(1+Dados_Cliente!$B$28)+Dados_Cliente!$B$7,F165)</f>
        <v/>
      </c>
    </row>
    <row r="167">
      <c r="A167">
        <f>A166+1</f>
        <v/>
      </c>
      <c r="B167">
        <f>A167/12</f>
        <v/>
      </c>
      <c r="C167" s="17">
        <f>IF($A167&lt;=Dados_Cliente!$B$8*12,C166+Dados_Cliente!$B$7,C166)</f>
        <v/>
      </c>
      <c r="D167" s="17">
        <f>IF($A167&lt;=Dados_Cliente!$B$8*12,D166*(1+Dados_Cliente!$B$24)+Dados_Cliente!$B$7,D166)</f>
        <v/>
      </c>
      <c r="E167" s="17">
        <f>IF($A167&lt;=Dados_Cliente!$B$8*12,E166*(1+Dados_Cliente!$B$27)+Dados_Cliente!$B$7,E166)</f>
        <v/>
      </c>
      <c r="F167" s="17">
        <f>IF($A167&lt;=Dados_Cliente!$B$8*12,F166*(1+Dados_Cliente!$B$28)+Dados_Cliente!$B$7,F166)</f>
        <v/>
      </c>
    </row>
    <row r="168">
      <c r="A168">
        <f>A167+1</f>
        <v/>
      </c>
      <c r="B168">
        <f>A168/12</f>
        <v/>
      </c>
      <c r="C168" s="17">
        <f>IF($A168&lt;=Dados_Cliente!$B$8*12,C167+Dados_Cliente!$B$7,C167)</f>
        <v/>
      </c>
      <c r="D168" s="17">
        <f>IF($A168&lt;=Dados_Cliente!$B$8*12,D167*(1+Dados_Cliente!$B$24)+Dados_Cliente!$B$7,D167)</f>
        <v/>
      </c>
      <c r="E168" s="17">
        <f>IF($A168&lt;=Dados_Cliente!$B$8*12,E167*(1+Dados_Cliente!$B$27)+Dados_Cliente!$B$7,E167)</f>
        <v/>
      </c>
      <c r="F168" s="17">
        <f>IF($A168&lt;=Dados_Cliente!$B$8*12,F167*(1+Dados_Cliente!$B$28)+Dados_Cliente!$B$7,F167)</f>
        <v/>
      </c>
    </row>
    <row r="169">
      <c r="A169">
        <f>A168+1</f>
        <v/>
      </c>
      <c r="B169">
        <f>A169/12</f>
        <v/>
      </c>
      <c r="C169" s="17">
        <f>IF($A169&lt;=Dados_Cliente!$B$8*12,C168+Dados_Cliente!$B$7,C168)</f>
        <v/>
      </c>
      <c r="D169" s="17">
        <f>IF($A169&lt;=Dados_Cliente!$B$8*12,D168*(1+Dados_Cliente!$B$24)+Dados_Cliente!$B$7,D168)</f>
        <v/>
      </c>
      <c r="E169" s="17">
        <f>IF($A169&lt;=Dados_Cliente!$B$8*12,E168*(1+Dados_Cliente!$B$27)+Dados_Cliente!$B$7,E168)</f>
        <v/>
      </c>
      <c r="F169" s="17">
        <f>IF($A169&lt;=Dados_Cliente!$B$8*12,F168*(1+Dados_Cliente!$B$28)+Dados_Cliente!$B$7,F168)</f>
        <v/>
      </c>
    </row>
    <row r="170">
      <c r="A170">
        <f>A169+1</f>
        <v/>
      </c>
      <c r="B170">
        <f>A170/12</f>
        <v/>
      </c>
      <c r="C170" s="17">
        <f>IF($A170&lt;=Dados_Cliente!$B$8*12,C169+Dados_Cliente!$B$7,C169)</f>
        <v/>
      </c>
      <c r="D170" s="17">
        <f>IF($A170&lt;=Dados_Cliente!$B$8*12,D169*(1+Dados_Cliente!$B$24)+Dados_Cliente!$B$7,D169)</f>
        <v/>
      </c>
      <c r="E170" s="17">
        <f>IF($A170&lt;=Dados_Cliente!$B$8*12,E169*(1+Dados_Cliente!$B$27)+Dados_Cliente!$B$7,E169)</f>
        <v/>
      </c>
      <c r="F170" s="17">
        <f>IF($A170&lt;=Dados_Cliente!$B$8*12,F169*(1+Dados_Cliente!$B$28)+Dados_Cliente!$B$7,F169)</f>
        <v/>
      </c>
    </row>
    <row r="171">
      <c r="A171">
        <f>A170+1</f>
        <v/>
      </c>
      <c r="B171">
        <f>A171/12</f>
        <v/>
      </c>
      <c r="C171" s="17">
        <f>IF($A171&lt;=Dados_Cliente!$B$8*12,C170+Dados_Cliente!$B$7,C170)</f>
        <v/>
      </c>
      <c r="D171" s="17">
        <f>IF($A171&lt;=Dados_Cliente!$B$8*12,D170*(1+Dados_Cliente!$B$24)+Dados_Cliente!$B$7,D170)</f>
        <v/>
      </c>
      <c r="E171" s="17">
        <f>IF($A171&lt;=Dados_Cliente!$B$8*12,E170*(1+Dados_Cliente!$B$27)+Dados_Cliente!$B$7,E170)</f>
        <v/>
      </c>
      <c r="F171" s="17">
        <f>IF($A171&lt;=Dados_Cliente!$B$8*12,F170*(1+Dados_Cliente!$B$28)+Dados_Cliente!$B$7,F170)</f>
        <v/>
      </c>
    </row>
    <row r="172">
      <c r="A172">
        <f>A171+1</f>
        <v/>
      </c>
      <c r="B172">
        <f>A172/12</f>
        <v/>
      </c>
      <c r="C172" s="17">
        <f>IF($A172&lt;=Dados_Cliente!$B$8*12,C171+Dados_Cliente!$B$7,C171)</f>
        <v/>
      </c>
      <c r="D172" s="17">
        <f>IF($A172&lt;=Dados_Cliente!$B$8*12,D171*(1+Dados_Cliente!$B$24)+Dados_Cliente!$B$7,D171)</f>
        <v/>
      </c>
      <c r="E172" s="17">
        <f>IF($A172&lt;=Dados_Cliente!$B$8*12,E171*(1+Dados_Cliente!$B$27)+Dados_Cliente!$B$7,E171)</f>
        <v/>
      </c>
      <c r="F172" s="17">
        <f>IF($A172&lt;=Dados_Cliente!$B$8*12,F171*(1+Dados_Cliente!$B$28)+Dados_Cliente!$B$7,F171)</f>
        <v/>
      </c>
    </row>
    <row r="173">
      <c r="A173">
        <f>A172+1</f>
        <v/>
      </c>
      <c r="B173">
        <f>A173/12</f>
        <v/>
      </c>
      <c r="C173" s="17">
        <f>IF($A173&lt;=Dados_Cliente!$B$8*12,C172+Dados_Cliente!$B$7,C172)</f>
        <v/>
      </c>
      <c r="D173" s="17">
        <f>IF($A173&lt;=Dados_Cliente!$B$8*12,D172*(1+Dados_Cliente!$B$24)+Dados_Cliente!$B$7,D172)</f>
        <v/>
      </c>
      <c r="E173" s="17">
        <f>IF($A173&lt;=Dados_Cliente!$B$8*12,E172*(1+Dados_Cliente!$B$27)+Dados_Cliente!$B$7,E172)</f>
        <v/>
      </c>
      <c r="F173" s="17">
        <f>IF($A173&lt;=Dados_Cliente!$B$8*12,F172*(1+Dados_Cliente!$B$28)+Dados_Cliente!$B$7,F172)</f>
        <v/>
      </c>
    </row>
    <row r="174">
      <c r="A174">
        <f>A173+1</f>
        <v/>
      </c>
      <c r="B174">
        <f>A174/12</f>
        <v/>
      </c>
      <c r="C174" s="17">
        <f>IF($A174&lt;=Dados_Cliente!$B$8*12,C173+Dados_Cliente!$B$7,C173)</f>
        <v/>
      </c>
      <c r="D174" s="17">
        <f>IF($A174&lt;=Dados_Cliente!$B$8*12,D173*(1+Dados_Cliente!$B$24)+Dados_Cliente!$B$7,D173)</f>
        <v/>
      </c>
      <c r="E174" s="17">
        <f>IF($A174&lt;=Dados_Cliente!$B$8*12,E173*(1+Dados_Cliente!$B$27)+Dados_Cliente!$B$7,E173)</f>
        <v/>
      </c>
      <c r="F174" s="17">
        <f>IF($A174&lt;=Dados_Cliente!$B$8*12,F173*(1+Dados_Cliente!$B$28)+Dados_Cliente!$B$7,F173)</f>
        <v/>
      </c>
    </row>
    <row r="175">
      <c r="A175">
        <f>A174+1</f>
        <v/>
      </c>
      <c r="B175">
        <f>A175/12</f>
        <v/>
      </c>
      <c r="C175" s="17">
        <f>IF($A175&lt;=Dados_Cliente!$B$8*12,C174+Dados_Cliente!$B$7,C174)</f>
        <v/>
      </c>
      <c r="D175" s="17">
        <f>IF($A175&lt;=Dados_Cliente!$B$8*12,D174*(1+Dados_Cliente!$B$24)+Dados_Cliente!$B$7,D174)</f>
        <v/>
      </c>
      <c r="E175" s="17">
        <f>IF($A175&lt;=Dados_Cliente!$B$8*12,E174*(1+Dados_Cliente!$B$27)+Dados_Cliente!$B$7,E174)</f>
        <v/>
      </c>
      <c r="F175" s="17">
        <f>IF($A175&lt;=Dados_Cliente!$B$8*12,F174*(1+Dados_Cliente!$B$28)+Dados_Cliente!$B$7,F174)</f>
        <v/>
      </c>
    </row>
    <row r="176">
      <c r="A176">
        <f>A175+1</f>
        <v/>
      </c>
      <c r="B176">
        <f>A176/12</f>
        <v/>
      </c>
      <c r="C176" s="17">
        <f>IF($A176&lt;=Dados_Cliente!$B$8*12,C175+Dados_Cliente!$B$7,C175)</f>
        <v/>
      </c>
      <c r="D176" s="17">
        <f>IF($A176&lt;=Dados_Cliente!$B$8*12,D175*(1+Dados_Cliente!$B$24)+Dados_Cliente!$B$7,D175)</f>
        <v/>
      </c>
      <c r="E176" s="17">
        <f>IF($A176&lt;=Dados_Cliente!$B$8*12,E175*(1+Dados_Cliente!$B$27)+Dados_Cliente!$B$7,E175)</f>
        <v/>
      </c>
      <c r="F176" s="17">
        <f>IF($A176&lt;=Dados_Cliente!$B$8*12,F175*(1+Dados_Cliente!$B$28)+Dados_Cliente!$B$7,F175)</f>
        <v/>
      </c>
    </row>
    <row r="177">
      <c r="A177">
        <f>A176+1</f>
        <v/>
      </c>
      <c r="B177">
        <f>A177/12</f>
        <v/>
      </c>
      <c r="C177" s="17">
        <f>IF($A177&lt;=Dados_Cliente!$B$8*12,C176+Dados_Cliente!$B$7,C176)</f>
        <v/>
      </c>
      <c r="D177" s="17">
        <f>IF($A177&lt;=Dados_Cliente!$B$8*12,D176*(1+Dados_Cliente!$B$24)+Dados_Cliente!$B$7,D176)</f>
        <v/>
      </c>
      <c r="E177" s="17">
        <f>IF($A177&lt;=Dados_Cliente!$B$8*12,E176*(1+Dados_Cliente!$B$27)+Dados_Cliente!$B$7,E176)</f>
        <v/>
      </c>
      <c r="F177" s="17">
        <f>IF($A177&lt;=Dados_Cliente!$B$8*12,F176*(1+Dados_Cliente!$B$28)+Dados_Cliente!$B$7,F176)</f>
        <v/>
      </c>
    </row>
    <row r="178">
      <c r="A178">
        <f>A177+1</f>
        <v/>
      </c>
      <c r="B178">
        <f>A178/12</f>
        <v/>
      </c>
      <c r="C178" s="17">
        <f>IF($A178&lt;=Dados_Cliente!$B$8*12,C177+Dados_Cliente!$B$7,C177)</f>
        <v/>
      </c>
      <c r="D178" s="17">
        <f>IF($A178&lt;=Dados_Cliente!$B$8*12,D177*(1+Dados_Cliente!$B$24)+Dados_Cliente!$B$7,D177)</f>
        <v/>
      </c>
      <c r="E178" s="17">
        <f>IF($A178&lt;=Dados_Cliente!$B$8*12,E177*(1+Dados_Cliente!$B$27)+Dados_Cliente!$B$7,E177)</f>
        <v/>
      </c>
      <c r="F178" s="17">
        <f>IF($A178&lt;=Dados_Cliente!$B$8*12,F177*(1+Dados_Cliente!$B$28)+Dados_Cliente!$B$7,F177)</f>
        <v/>
      </c>
    </row>
    <row r="179">
      <c r="A179">
        <f>A178+1</f>
        <v/>
      </c>
      <c r="B179">
        <f>A179/12</f>
        <v/>
      </c>
      <c r="C179" s="17">
        <f>IF($A179&lt;=Dados_Cliente!$B$8*12,C178+Dados_Cliente!$B$7,C178)</f>
        <v/>
      </c>
      <c r="D179" s="17">
        <f>IF($A179&lt;=Dados_Cliente!$B$8*12,D178*(1+Dados_Cliente!$B$24)+Dados_Cliente!$B$7,D178)</f>
        <v/>
      </c>
      <c r="E179" s="17">
        <f>IF($A179&lt;=Dados_Cliente!$B$8*12,E178*(1+Dados_Cliente!$B$27)+Dados_Cliente!$B$7,E178)</f>
        <v/>
      </c>
      <c r="F179" s="17">
        <f>IF($A179&lt;=Dados_Cliente!$B$8*12,F178*(1+Dados_Cliente!$B$28)+Dados_Cliente!$B$7,F178)</f>
        <v/>
      </c>
    </row>
    <row r="180">
      <c r="A180">
        <f>A179+1</f>
        <v/>
      </c>
      <c r="B180">
        <f>A180/12</f>
        <v/>
      </c>
      <c r="C180" s="17">
        <f>IF($A180&lt;=Dados_Cliente!$B$8*12,C179+Dados_Cliente!$B$7,C179)</f>
        <v/>
      </c>
      <c r="D180" s="17">
        <f>IF($A180&lt;=Dados_Cliente!$B$8*12,D179*(1+Dados_Cliente!$B$24)+Dados_Cliente!$B$7,D179)</f>
        <v/>
      </c>
      <c r="E180" s="17">
        <f>IF($A180&lt;=Dados_Cliente!$B$8*12,E179*(1+Dados_Cliente!$B$27)+Dados_Cliente!$B$7,E179)</f>
        <v/>
      </c>
      <c r="F180" s="17">
        <f>IF($A180&lt;=Dados_Cliente!$B$8*12,F179*(1+Dados_Cliente!$B$28)+Dados_Cliente!$B$7,F179)</f>
        <v/>
      </c>
    </row>
    <row r="181">
      <c r="A181">
        <f>A180+1</f>
        <v/>
      </c>
      <c r="B181">
        <f>A181/12</f>
        <v/>
      </c>
      <c r="C181" s="17">
        <f>IF($A181&lt;=Dados_Cliente!$B$8*12,C180+Dados_Cliente!$B$7,C180)</f>
        <v/>
      </c>
      <c r="D181" s="17">
        <f>IF($A181&lt;=Dados_Cliente!$B$8*12,D180*(1+Dados_Cliente!$B$24)+Dados_Cliente!$B$7,D180)</f>
        <v/>
      </c>
      <c r="E181" s="17">
        <f>IF($A181&lt;=Dados_Cliente!$B$8*12,E180*(1+Dados_Cliente!$B$27)+Dados_Cliente!$B$7,E180)</f>
        <v/>
      </c>
      <c r="F181" s="17">
        <f>IF($A181&lt;=Dados_Cliente!$B$8*12,F180*(1+Dados_Cliente!$B$28)+Dados_Cliente!$B$7,F180)</f>
        <v/>
      </c>
    </row>
    <row r="182">
      <c r="A182">
        <f>A181+1</f>
        <v/>
      </c>
      <c r="B182">
        <f>A182/12</f>
        <v/>
      </c>
      <c r="C182" s="17">
        <f>IF($A182&lt;=Dados_Cliente!$B$8*12,C181+Dados_Cliente!$B$7,C181)</f>
        <v/>
      </c>
      <c r="D182" s="17">
        <f>IF($A182&lt;=Dados_Cliente!$B$8*12,D181*(1+Dados_Cliente!$B$24)+Dados_Cliente!$B$7,D181)</f>
        <v/>
      </c>
      <c r="E182" s="17">
        <f>IF($A182&lt;=Dados_Cliente!$B$8*12,E181*(1+Dados_Cliente!$B$27)+Dados_Cliente!$B$7,E181)</f>
        <v/>
      </c>
      <c r="F182" s="17">
        <f>IF($A182&lt;=Dados_Cliente!$B$8*12,F181*(1+Dados_Cliente!$B$28)+Dados_Cliente!$B$7,F181)</f>
        <v/>
      </c>
    </row>
    <row r="183">
      <c r="A183">
        <f>A182+1</f>
        <v/>
      </c>
      <c r="B183">
        <f>A183/12</f>
        <v/>
      </c>
      <c r="C183" s="17">
        <f>IF($A183&lt;=Dados_Cliente!$B$8*12,C182+Dados_Cliente!$B$7,C182)</f>
        <v/>
      </c>
      <c r="D183" s="17">
        <f>IF($A183&lt;=Dados_Cliente!$B$8*12,D182*(1+Dados_Cliente!$B$24)+Dados_Cliente!$B$7,D182)</f>
        <v/>
      </c>
      <c r="E183" s="17">
        <f>IF($A183&lt;=Dados_Cliente!$B$8*12,E182*(1+Dados_Cliente!$B$27)+Dados_Cliente!$B$7,E182)</f>
        <v/>
      </c>
      <c r="F183" s="17">
        <f>IF($A183&lt;=Dados_Cliente!$B$8*12,F182*(1+Dados_Cliente!$B$28)+Dados_Cliente!$B$7,F182)</f>
        <v/>
      </c>
    </row>
    <row r="184">
      <c r="A184">
        <f>A183+1</f>
        <v/>
      </c>
      <c r="B184">
        <f>A184/12</f>
        <v/>
      </c>
      <c r="C184" s="17">
        <f>IF($A184&lt;=Dados_Cliente!$B$8*12,C183+Dados_Cliente!$B$7,C183)</f>
        <v/>
      </c>
      <c r="D184" s="17">
        <f>IF($A184&lt;=Dados_Cliente!$B$8*12,D183*(1+Dados_Cliente!$B$24)+Dados_Cliente!$B$7,D183)</f>
        <v/>
      </c>
      <c r="E184" s="17">
        <f>IF($A184&lt;=Dados_Cliente!$B$8*12,E183*(1+Dados_Cliente!$B$27)+Dados_Cliente!$B$7,E183)</f>
        <v/>
      </c>
      <c r="F184" s="17">
        <f>IF($A184&lt;=Dados_Cliente!$B$8*12,F183*(1+Dados_Cliente!$B$28)+Dados_Cliente!$B$7,F183)</f>
        <v/>
      </c>
    </row>
    <row r="185">
      <c r="A185">
        <f>A184+1</f>
        <v/>
      </c>
      <c r="B185">
        <f>A185/12</f>
        <v/>
      </c>
      <c r="C185" s="17">
        <f>IF($A185&lt;=Dados_Cliente!$B$8*12,C184+Dados_Cliente!$B$7,C184)</f>
        <v/>
      </c>
      <c r="D185" s="17">
        <f>IF($A185&lt;=Dados_Cliente!$B$8*12,D184*(1+Dados_Cliente!$B$24)+Dados_Cliente!$B$7,D184)</f>
        <v/>
      </c>
      <c r="E185" s="17">
        <f>IF($A185&lt;=Dados_Cliente!$B$8*12,E184*(1+Dados_Cliente!$B$27)+Dados_Cliente!$B$7,E184)</f>
        <v/>
      </c>
      <c r="F185" s="17">
        <f>IF($A185&lt;=Dados_Cliente!$B$8*12,F184*(1+Dados_Cliente!$B$28)+Dados_Cliente!$B$7,F184)</f>
        <v/>
      </c>
    </row>
    <row r="186">
      <c r="A186">
        <f>A185+1</f>
        <v/>
      </c>
      <c r="B186">
        <f>A186/12</f>
        <v/>
      </c>
      <c r="C186" s="17">
        <f>IF($A186&lt;=Dados_Cliente!$B$8*12,C185+Dados_Cliente!$B$7,C185)</f>
        <v/>
      </c>
      <c r="D186" s="17">
        <f>IF($A186&lt;=Dados_Cliente!$B$8*12,D185*(1+Dados_Cliente!$B$24)+Dados_Cliente!$B$7,D185)</f>
        <v/>
      </c>
      <c r="E186" s="17">
        <f>IF($A186&lt;=Dados_Cliente!$B$8*12,E185*(1+Dados_Cliente!$B$27)+Dados_Cliente!$B$7,E185)</f>
        <v/>
      </c>
      <c r="F186" s="17">
        <f>IF($A186&lt;=Dados_Cliente!$B$8*12,F185*(1+Dados_Cliente!$B$28)+Dados_Cliente!$B$7,F185)</f>
        <v/>
      </c>
    </row>
    <row r="187">
      <c r="A187">
        <f>A186+1</f>
        <v/>
      </c>
      <c r="B187">
        <f>A187/12</f>
        <v/>
      </c>
      <c r="C187" s="17">
        <f>IF($A187&lt;=Dados_Cliente!$B$8*12,C186+Dados_Cliente!$B$7,C186)</f>
        <v/>
      </c>
      <c r="D187" s="17">
        <f>IF($A187&lt;=Dados_Cliente!$B$8*12,D186*(1+Dados_Cliente!$B$24)+Dados_Cliente!$B$7,D186)</f>
        <v/>
      </c>
      <c r="E187" s="17">
        <f>IF($A187&lt;=Dados_Cliente!$B$8*12,E186*(1+Dados_Cliente!$B$27)+Dados_Cliente!$B$7,E186)</f>
        <v/>
      </c>
      <c r="F187" s="17">
        <f>IF($A187&lt;=Dados_Cliente!$B$8*12,F186*(1+Dados_Cliente!$B$28)+Dados_Cliente!$B$7,F186)</f>
        <v/>
      </c>
    </row>
    <row r="188">
      <c r="A188">
        <f>A187+1</f>
        <v/>
      </c>
      <c r="B188">
        <f>A188/12</f>
        <v/>
      </c>
      <c r="C188" s="17">
        <f>IF($A188&lt;=Dados_Cliente!$B$8*12,C187+Dados_Cliente!$B$7,C187)</f>
        <v/>
      </c>
      <c r="D188" s="17">
        <f>IF($A188&lt;=Dados_Cliente!$B$8*12,D187*(1+Dados_Cliente!$B$24)+Dados_Cliente!$B$7,D187)</f>
        <v/>
      </c>
      <c r="E188" s="17">
        <f>IF($A188&lt;=Dados_Cliente!$B$8*12,E187*(1+Dados_Cliente!$B$27)+Dados_Cliente!$B$7,E187)</f>
        <v/>
      </c>
      <c r="F188" s="17">
        <f>IF($A188&lt;=Dados_Cliente!$B$8*12,F187*(1+Dados_Cliente!$B$28)+Dados_Cliente!$B$7,F187)</f>
        <v/>
      </c>
    </row>
    <row r="189">
      <c r="A189">
        <f>A188+1</f>
        <v/>
      </c>
      <c r="B189">
        <f>A189/12</f>
        <v/>
      </c>
      <c r="C189" s="17">
        <f>IF($A189&lt;=Dados_Cliente!$B$8*12,C188+Dados_Cliente!$B$7,C188)</f>
        <v/>
      </c>
      <c r="D189" s="17">
        <f>IF($A189&lt;=Dados_Cliente!$B$8*12,D188*(1+Dados_Cliente!$B$24)+Dados_Cliente!$B$7,D188)</f>
        <v/>
      </c>
      <c r="E189" s="17">
        <f>IF($A189&lt;=Dados_Cliente!$B$8*12,E188*(1+Dados_Cliente!$B$27)+Dados_Cliente!$B$7,E188)</f>
        <v/>
      </c>
      <c r="F189" s="17">
        <f>IF($A189&lt;=Dados_Cliente!$B$8*12,F188*(1+Dados_Cliente!$B$28)+Dados_Cliente!$B$7,F188)</f>
        <v/>
      </c>
    </row>
    <row r="190">
      <c r="A190">
        <f>A189+1</f>
        <v/>
      </c>
      <c r="B190">
        <f>A190/12</f>
        <v/>
      </c>
      <c r="C190" s="17">
        <f>IF($A190&lt;=Dados_Cliente!$B$8*12,C189+Dados_Cliente!$B$7,C189)</f>
        <v/>
      </c>
      <c r="D190" s="17">
        <f>IF($A190&lt;=Dados_Cliente!$B$8*12,D189*(1+Dados_Cliente!$B$24)+Dados_Cliente!$B$7,D189)</f>
        <v/>
      </c>
      <c r="E190" s="17">
        <f>IF($A190&lt;=Dados_Cliente!$B$8*12,E189*(1+Dados_Cliente!$B$27)+Dados_Cliente!$B$7,E189)</f>
        <v/>
      </c>
      <c r="F190" s="17">
        <f>IF($A190&lt;=Dados_Cliente!$B$8*12,F189*(1+Dados_Cliente!$B$28)+Dados_Cliente!$B$7,F189)</f>
        <v/>
      </c>
    </row>
    <row r="191">
      <c r="A191">
        <f>A190+1</f>
        <v/>
      </c>
      <c r="B191">
        <f>A191/12</f>
        <v/>
      </c>
      <c r="C191" s="17">
        <f>IF($A191&lt;=Dados_Cliente!$B$8*12,C190+Dados_Cliente!$B$7,C190)</f>
        <v/>
      </c>
      <c r="D191" s="17">
        <f>IF($A191&lt;=Dados_Cliente!$B$8*12,D190*(1+Dados_Cliente!$B$24)+Dados_Cliente!$B$7,D190)</f>
        <v/>
      </c>
      <c r="E191" s="17">
        <f>IF($A191&lt;=Dados_Cliente!$B$8*12,E190*(1+Dados_Cliente!$B$27)+Dados_Cliente!$B$7,E190)</f>
        <v/>
      </c>
      <c r="F191" s="17">
        <f>IF($A191&lt;=Dados_Cliente!$B$8*12,F190*(1+Dados_Cliente!$B$28)+Dados_Cliente!$B$7,F190)</f>
        <v/>
      </c>
    </row>
    <row r="192">
      <c r="A192">
        <f>A191+1</f>
        <v/>
      </c>
      <c r="B192">
        <f>A192/12</f>
        <v/>
      </c>
      <c r="C192" s="17">
        <f>IF($A192&lt;=Dados_Cliente!$B$8*12,C191+Dados_Cliente!$B$7,C191)</f>
        <v/>
      </c>
      <c r="D192" s="17">
        <f>IF($A192&lt;=Dados_Cliente!$B$8*12,D191*(1+Dados_Cliente!$B$24)+Dados_Cliente!$B$7,D191)</f>
        <v/>
      </c>
      <c r="E192" s="17">
        <f>IF($A192&lt;=Dados_Cliente!$B$8*12,E191*(1+Dados_Cliente!$B$27)+Dados_Cliente!$B$7,E191)</f>
        <v/>
      </c>
      <c r="F192" s="17">
        <f>IF($A192&lt;=Dados_Cliente!$B$8*12,F191*(1+Dados_Cliente!$B$28)+Dados_Cliente!$B$7,F191)</f>
        <v/>
      </c>
    </row>
    <row r="193">
      <c r="A193">
        <f>A192+1</f>
        <v/>
      </c>
      <c r="B193">
        <f>A193/12</f>
        <v/>
      </c>
      <c r="C193" s="17">
        <f>IF($A193&lt;=Dados_Cliente!$B$8*12,C192+Dados_Cliente!$B$7,C192)</f>
        <v/>
      </c>
      <c r="D193" s="17">
        <f>IF($A193&lt;=Dados_Cliente!$B$8*12,D192*(1+Dados_Cliente!$B$24)+Dados_Cliente!$B$7,D192)</f>
        <v/>
      </c>
      <c r="E193" s="17">
        <f>IF($A193&lt;=Dados_Cliente!$B$8*12,E192*(1+Dados_Cliente!$B$27)+Dados_Cliente!$B$7,E192)</f>
        <v/>
      </c>
      <c r="F193" s="17">
        <f>IF($A193&lt;=Dados_Cliente!$B$8*12,F192*(1+Dados_Cliente!$B$28)+Dados_Cliente!$B$7,F192)</f>
        <v/>
      </c>
    </row>
    <row r="194">
      <c r="A194">
        <f>A193+1</f>
        <v/>
      </c>
      <c r="B194">
        <f>A194/12</f>
        <v/>
      </c>
      <c r="C194" s="17">
        <f>IF($A194&lt;=Dados_Cliente!$B$8*12,C193+Dados_Cliente!$B$7,C193)</f>
        <v/>
      </c>
      <c r="D194" s="17">
        <f>IF($A194&lt;=Dados_Cliente!$B$8*12,D193*(1+Dados_Cliente!$B$24)+Dados_Cliente!$B$7,D193)</f>
        <v/>
      </c>
      <c r="E194" s="17">
        <f>IF($A194&lt;=Dados_Cliente!$B$8*12,E193*(1+Dados_Cliente!$B$27)+Dados_Cliente!$B$7,E193)</f>
        <v/>
      </c>
      <c r="F194" s="17">
        <f>IF($A194&lt;=Dados_Cliente!$B$8*12,F193*(1+Dados_Cliente!$B$28)+Dados_Cliente!$B$7,F193)</f>
        <v/>
      </c>
    </row>
    <row r="195">
      <c r="A195">
        <f>A194+1</f>
        <v/>
      </c>
      <c r="B195">
        <f>A195/12</f>
        <v/>
      </c>
      <c r="C195" s="17">
        <f>IF($A195&lt;=Dados_Cliente!$B$8*12,C194+Dados_Cliente!$B$7,C194)</f>
        <v/>
      </c>
      <c r="D195" s="17">
        <f>IF($A195&lt;=Dados_Cliente!$B$8*12,D194*(1+Dados_Cliente!$B$24)+Dados_Cliente!$B$7,D194)</f>
        <v/>
      </c>
      <c r="E195" s="17">
        <f>IF($A195&lt;=Dados_Cliente!$B$8*12,E194*(1+Dados_Cliente!$B$27)+Dados_Cliente!$B$7,E194)</f>
        <v/>
      </c>
      <c r="F195" s="17">
        <f>IF($A195&lt;=Dados_Cliente!$B$8*12,F194*(1+Dados_Cliente!$B$28)+Dados_Cliente!$B$7,F194)</f>
        <v/>
      </c>
    </row>
    <row r="196">
      <c r="A196">
        <f>A195+1</f>
        <v/>
      </c>
      <c r="B196">
        <f>A196/12</f>
        <v/>
      </c>
      <c r="C196" s="17">
        <f>IF($A196&lt;=Dados_Cliente!$B$8*12,C195+Dados_Cliente!$B$7,C195)</f>
        <v/>
      </c>
      <c r="D196" s="17">
        <f>IF($A196&lt;=Dados_Cliente!$B$8*12,D195*(1+Dados_Cliente!$B$24)+Dados_Cliente!$B$7,D195)</f>
        <v/>
      </c>
      <c r="E196" s="17">
        <f>IF($A196&lt;=Dados_Cliente!$B$8*12,E195*(1+Dados_Cliente!$B$27)+Dados_Cliente!$B$7,E195)</f>
        <v/>
      </c>
      <c r="F196" s="17">
        <f>IF($A196&lt;=Dados_Cliente!$B$8*12,F195*(1+Dados_Cliente!$B$28)+Dados_Cliente!$B$7,F195)</f>
        <v/>
      </c>
    </row>
    <row r="197">
      <c r="A197">
        <f>A196+1</f>
        <v/>
      </c>
      <c r="B197">
        <f>A197/12</f>
        <v/>
      </c>
      <c r="C197" s="17">
        <f>IF($A197&lt;=Dados_Cliente!$B$8*12,C196+Dados_Cliente!$B$7,C196)</f>
        <v/>
      </c>
      <c r="D197" s="17">
        <f>IF($A197&lt;=Dados_Cliente!$B$8*12,D196*(1+Dados_Cliente!$B$24)+Dados_Cliente!$B$7,D196)</f>
        <v/>
      </c>
      <c r="E197" s="17">
        <f>IF($A197&lt;=Dados_Cliente!$B$8*12,E196*(1+Dados_Cliente!$B$27)+Dados_Cliente!$B$7,E196)</f>
        <v/>
      </c>
      <c r="F197" s="17">
        <f>IF($A197&lt;=Dados_Cliente!$B$8*12,F196*(1+Dados_Cliente!$B$28)+Dados_Cliente!$B$7,F196)</f>
        <v/>
      </c>
    </row>
    <row r="198">
      <c r="A198">
        <f>A197+1</f>
        <v/>
      </c>
      <c r="B198">
        <f>A198/12</f>
        <v/>
      </c>
      <c r="C198" s="17">
        <f>IF($A198&lt;=Dados_Cliente!$B$8*12,C197+Dados_Cliente!$B$7,C197)</f>
        <v/>
      </c>
      <c r="D198" s="17">
        <f>IF($A198&lt;=Dados_Cliente!$B$8*12,D197*(1+Dados_Cliente!$B$24)+Dados_Cliente!$B$7,D197)</f>
        <v/>
      </c>
      <c r="E198" s="17">
        <f>IF($A198&lt;=Dados_Cliente!$B$8*12,E197*(1+Dados_Cliente!$B$27)+Dados_Cliente!$B$7,E197)</f>
        <v/>
      </c>
      <c r="F198" s="17">
        <f>IF($A198&lt;=Dados_Cliente!$B$8*12,F197*(1+Dados_Cliente!$B$28)+Dados_Cliente!$B$7,F197)</f>
        <v/>
      </c>
    </row>
    <row r="199">
      <c r="A199">
        <f>A198+1</f>
        <v/>
      </c>
      <c r="B199">
        <f>A199/12</f>
        <v/>
      </c>
      <c r="C199" s="17">
        <f>IF($A199&lt;=Dados_Cliente!$B$8*12,C198+Dados_Cliente!$B$7,C198)</f>
        <v/>
      </c>
      <c r="D199" s="17">
        <f>IF($A199&lt;=Dados_Cliente!$B$8*12,D198*(1+Dados_Cliente!$B$24)+Dados_Cliente!$B$7,D198)</f>
        <v/>
      </c>
      <c r="E199" s="17">
        <f>IF($A199&lt;=Dados_Cliente!$B$8*12,E198*(1+Dados_Cliente!$B$27)+Dados_Cliente!$B$7,E198)</f>
        <v/>
      </c>
      <c r="F199" s="17">
        <f>IF($A199&lt;=Dados_Cliente!$B$8*12,F198*(1+Dados_Cliente!$B$28)+Dados_Cliente!$B$7,F198)</f>
        <v/>
      </c>
    </row>
    <row r="200">
      <c r="A200">
        <f>A199+1</f>
        <v/>
      </c>
      <c r="B200">
        <f>A200/12</f>
        <v/>
      </c>
      <c r="C200" s="17">
        <f>IF($A200&lt;=Dados_Cliente!$B$8*12,C199+Dados_Cliente!$B$7,C199)</f>
        <v/>
      </c>
      <c r="D200" s="17">
        <f>IF($A200&lt;=Dados_Cliente!$B$8*12,D199*(1+Dados_Cliente!$B$24)+Dados_Cliente!$B$7,D199)</f>
        <v/>
      </c>
      <c r="E200" s="17">
        <f>IF($A200&lt;=Dados_Cliente!$B$8*12,E199*(1+Dados_Cliente!$B$27)+Dados_Cliente!$B$7,E199)</f>
        <v/>
      </c>
      <c r="F200" s="17">
        <f>IF($A200&lt;=Dados_Cliente!$B$8*12,F199*(1+Dados_Cliente!$B$28)+Dados_Cliente!$B$7,F199)</f>
        <v/>
      </c>
    </row>
    <row r="201">
      <c r="A201">
        <f>A200+1</f>
        <v/>
      </c>
      <c r="B201">
        <f>A201/12</f>
        <v/>
      </c>
      <c r="C201" s="17">
        <f>IF($A201&lt;=Dados_Cliente!$B$8*12,C200+Dados_Cliente!$B$7,C200)</f>
        <v/>
      </c>
      <c r="D201" s="17">
        <f>IF($A201&lt;=Dados_Cliente!$B$8*12,D200*(1+Dados_Cliente!$B$24)+Dados_Cliente!$B$7,D200)</f>
        <v/>
      </c>
      <c r="E201" s="17">
        <f>IF($A201&lt;=Dados_Cliente!$B$8*12,E200*(1+Dados_Cliente!$B$27)+Dados_Cliente!$B$7,E200)</f>
        <v/>
      </c>
      <c r="F201" s="17">
        <f>IF($A201&lt;=Dados_Cliente!$B$8*12,F200*(1+Dados_Cliente!$B$28)+Dados_Cliente!$B$7,F200)</f>
        <v/>
      </c>
    </row>
    <row r="202">
      <c r="A202">
        <f>A201+1</f>
        <v/>
      </c>
      <c r="B202">
        <f>A202/12</f>
        <v/>
      </c>
      <c r="C202" s="17">
        <f>IF($A202&lt;=Dados_Cliente!$B$8*12,C201+Dados_Cliente!$B$7,C201)</f>
        <v/>
      </c>
      <c r="D202" s="17">
        <f>IF($A202&lt;=Dados_Cliente!$B$8*12,D201*(1+Dados_Cliente!$B$24)+Dados_Cliente!$B$7,D201)</f>
        <v/>
      </c>
      <c r="E202" s="17">
        <f>IF($A202&lt;=Dados_Cliente!$B$8*12,E201*(1+Dados_Cliente!$B$27)+Dados_Cliente!$B$7,E201)</f>
        <v/>
      </c>
      <c r="F202" s="17">
        <f>IF($A202&lt;=Dados_Cliente!$B$8*12,F201*(1+Dados_Cliente!$B$28)+Dados_Cliente!$B$7,F201)</f>
        <v/>
      </c>
    </row>
    <row r="203">
      <c r="A203">
        <f>A202+1</f>
        <v/>
      </c>
      <c r="B203">
        <f>A203/12</f>
        <v/>
      </c>
      <c r="C203" s="17">
        <f>IF($A203&lt;=Dados_Cliente!$B$8*12,C202+Dados_Cliente!$B$7,C202)</f>
        <v/>
      </c>
      <c r="D203" s="17">
        <f>IF($A203&lt;=Dados_Cliente!$B$8*12,D202*(1+Dados_Cliente!$B$24)+Dados_Cliente!$B$7,D202)</f>
        <v/>
      </c>
      <c r="E203" s="17">
        <f>IF($A203&lt;=Dados_Cliente!$B$8*12,E202*(1+Dados_Cliente!$B$27)+Dados_Cliente!$B$7,E202)</f>
        <v/>
      </c>
      <c r="F203" s="17">
        <f>IF($A203&lt;=Dados_Cliente!$B$8*12,F202*(1+Dados_Cliente!$B$28)+Dados_Cliente!$B$7,F202)</f>
        <v/>
      </c>
    </row>
    <row r="204">
      <c r="A204">
        <f>A203+1</f>
        <v/>
      </c>
      <c r="B204">
        <f>A204/12</f>
        <v/>
      </c>
      <c r="C204" s="17">
        <f>IF($A204&lt;=Dados_Cliente!$B$8*12,C203+Dados_Cliente!$B$7,C203)</f>
        <v/>
      </c>
      <c r="D204" s="17">
        <f>IF($A204&lt;=Dados_Cliente!$B$8*12,D203*(1+Dados_Cliente!$B$24)+Dados_Cliente!$B$7,D203)</f>
        <v/>
      </c>
      <c r="E204" s="17">
        <f>IF($A204&lt;=Dados_Cliente!$B$8*12,E203*(1+Dados_Cliente!$B$27)+Dados_Cliente!$B$7,E203)</f>
        <v/>
      </c>
      <c r="F204" s="17">
        <f>IF($A204&lt;=Dados_Cliente!$B$8*12,F203*(1+Dados_Cliente!$B$28)+Dados_Cliente!$B$7,F203)</f>
        <v/>
      </c>
    </row>
    <row r="205">
      <c r="A205">
        <f>A204+1</f>
        <v/>
      </c>
      <c r="B205">
        <f>A205/12</f>
        <v/>
      </c>
      <c r="C205" s="17">
        <f>IF($A205&lt;=Dados_Cliente!$B$8*12,C204+Dados_Cliente!$B$7,C204)</f>
        <v/>
      </c>
      <c r="D205" s="17">
        <f>IF($A205&lt;=Dados_Cliente!$B$8*12,D204*(1+Dados_Cliente!$B$24)+Dados_Cliente!$B$7,D204)</f>
        <v/>
      </c>
      <c r="E205" s="17">
        <f>IF($A205&lt;=Dados_Cliente!$B$8*12,E204*(1+Dados_Cliente!$B$27)+Dados_Cliente!$B$7,E204)</f>
        <v/>
      </c>
      <c r="F205" s="17">
        <f>IF($A205&lt;=Dados_Cliente!$B$8*12,F204*(1+Dados_Cliente!$B$28)+Dados_Cliente!$B$7,F204)</f>
        <v/>
      </c>
    </row>
    <row r="206">
      <c r="A206">
        <f>A205+1</f>
        <v/>
      </c>
      <c r="B206">
        <f>A206/12</f>
        <v/>
      </c>
      <c r="C206" s="17">
        <f>IF($A206&lt;=Dados_Cliente!$B$8*12,C205+Dados_Cliente!$B$7,C205)</f>
        <v/>
      </c>
      <c r="D206" s="17">
        <f>IF($A206&lt;=Dados_Cliente!$B$8*12,D205*(1+Dados_Cliente!$B$24)+Dados_Cliente!$B$7,D205)</f>
        <v/>
      </c>
      <c r="E206" s="17">
        <f>IF($A206&lt;=Dados_Cliente!$B$8*12,E205*(1+Dados_Cliente!$B$27)+Dados_Cliente!$B$7,E205)</f>
        <v/>
      </c>
      <c r="F206" s="17">
        <f>IF($A206&lt;=Dados_Cliente!$B$8*12,F205*(1+Dados_Cliente!$B$28)+Dados_Cliente!$B$7,F205)</f>
        <v/>
      </c>
    </row>
    <row r="207">
      <c r="A207">
        <f>A206+1</f>
        <v/>
      </c>
      <c r="B207">
        <f>A207/12</f>
        <v/>
      </c>
      <c r="C207" s="17">
        <f>IF($A207&lt;=Dados_Cliente!$B$8*12,C206+Dados_Cliente!$B$7,C206)</f>
        <v/>
      </c>
      <c r="D207" s="17">
        <f>IF($A207&lt;=Dados_Cliente!$B$8*12,D206*(1+Dados_Cliente!$B$24)+Dados_Cliente!$B$7,D206)</f>
        <v/>
      </c>
      <c r="E207" s="17">
        <f>IF($A207&lt;=Dados_Cliente!$B$8*12,E206*(1+Dados_Cliente!$B$27)+Dados_Cliente!$B$7,E206)</f>
        <v/>
      </c>
      <c r="F207" s="17">
        <f>IF($A207&lt;=Dados_Cliente!$B$8*12,F206*(1+Dados_Cliente!$B$28)+Dados_Cliente!$B$7,F206)</f>
        <v/>
      </c>
    </row>
    <row r="208">
      <c r="A208">
        <f>A207+1</f>
        <v/>
      </c>
      <c r="B208">
        <f>A208/12</f>
        <v/>
      </c>
      <c r="C208" s="17">
        <f>IF($A208&lt;=Dados_Cliente!$B$8*12,C207+Dados_Cliente!$B$7,C207)</f>
        <v/>
      </c>
      <c r="D208" s="17">
        <f>IF($A208&lt;=Dados_Cliente!$B$8*12,D207*(1+Dados_Cliente!$B$24)+Dados_Cliente!$B$7,D207)</f>
        <v/>
      </c>
      <c r="E208" s="17">
        <f>IF($A208&lt;=Dados_Cliente!$B$8*12,E207*(1+Dados_Cliente!$B$27)+Dados_Cliente!$B$7,E207)</f>
        <v/>
      </c>
      <c r="F208" s="17">
        <f>IF($A208&lt;=Dados_Cliente!$B$8*12,F207*(1+Dados_Cliente!$B$28)+Dados_Cliente!$B$7,F207)</f>
        <v/>
      </c>
    </row>
    <row r="209">
      <c r="A209">
        <f>A208+1</f>
        <v/>
      </c>
      <c r="B209">
        <f>A209/12</f>
        <v/>
      </c>
      <c r="C209" s="17">
        <f>IF($A209&lt;=Dados_Cliente!$B$8*12,C208+Dados_Cliente!$B$7,C208)</f>
        <v/>
      </c>
      <c r="D209" s="17">
        <f>IF($A209&lt;=Dados_Cliente!$B$8*12,D208*(1+Dados_Cliente!$B$24)+Dados_Cliente!$B$7,D208)</f>
        <v/>
      </c>
      <c r="E209" s="17">
        <f>IF($A209&lt;=Dados_Cliente!$B$8*12,E208*(1+Dados_Cliente!$B$27)+Dados_Cliente!$B$7,E208)</f>
        <v/>
      </c>
      <c r="F209" s="17">
        <f>IF($A209&lt;=Dados_Cliente!$B$8*12,F208*(1+Dados_Cliente!$B$28)+Dados_Cliente!$B$7,F208)</f>
        <v/>
      </c>
    </row>
    <row r="210">
      <c r="A210">
        <f>A209+1</f>
        <v/>
      </c>
      <c r="B210">
        <f>A210/12</f>
        <v/>
      </c>
      <c r="C210" s="17">
        <f>IF($A210&lt;=Dados_Cliente!$B$8*12,C209+Dados_Cliente!$B$7,C209)</f>
        <v/>
      </c>
      <c r="D210" s="17">
        <f>IF($A210&lt;=Dados_Cliente!$B$8*12,D209*(1+Dados_Cliente!$B$24)+Dados_Cliente!$B$7,D209)</f>
        <v/>
      </c>
      <c r="E210" s="17">
        <f>IF($A210&lt;=Dados_Cliente!$B$8*12,E209*(1+Dados_Cliente!$B$27)+Dados_Cliente!$B$7,E209)</f>
        <v/>
      </c>
      <c r="F210" s="17">
        <f>IF($A210&lt;=Dados_Cliente!$B$8*12,F209*(1+Dados_Cliente!$B$28)+Dados_Cliente!$B$7,F209)</f>
        <v/>
      </c>
    </row>
    <row r="211">
      <c r="A211">
        <f>A210+1</f>
        <v/>
      </c>
      <c r="B211">
        <f>A211/12</f>
        <v/>
      </c>
      <c r="C211" s="17">
        <f>IF($A211&lt;=Dados_Cliente!$B$8*12,C210+Dados_Cliente!$B$7,C210)</f>
        <v/>
      </c>
      <c r="D211" s="17">
        <f>IF($A211&lt;=Dados_Cliente!$B$8*12,D210*(1+Dados_Cliente!$B$24)+Dados_Cliente!$B$7,D210)</f>
        <v/>
      </c>
      <c r="E211" s="17">
        <f>IF($A211&lt;=Dados_Cliente!$B$8*12,E210*(1+Dados_Cliente!$B$27)+Dados_Cliente!$B$7,E210)</f>
        <v/>
      </c>
      <c r="F211" s="17">
        <f>IF($A211&lt;=Dados_Cliente!$B$8*12,F210*(1+Dados_Cliente!$B$28)+Dados_Cliente!$B$7,F210)</f>
        <v/>
      </c>
    </row>
    <row r="212">
      <c r="A212">
        <f>A211+1</f>
        <v/>
      </c>
      <c r="B212">
        <f>A212/12</f>
        <v/>
      </c>
      <c r="C212" s="17">
        <f>IF($A212&lt;=Dados_Cliente!$B$8*12,C211+Dados_Cliente!$B$7,C211)</f>
        <v/>
      </c>
      <c r="D212" s="17">
        <f>IF($A212&lt;=Dados_Cliente!$B$8*12,D211*(1+Dados_Cliente!$B$24)+Dados_Cliente!$B$7,D211)</f>
        <v/>
      </c>
      <c r="E212" s="17">
        <f>IF($A212&lt;=Dados_Cliente!$B$8*12,E211*(1+Dados_Cliente!$B$27)+Dados_Cliente!$B$7,E211)</f>
        <v/>
      </c>
      <c r="F212" s="17">
        <f>IF($A212&lt;=Dados_Cliente!$B$8*12,F211*(1+Dados_Cliente!$B$28)+Dados_Cliente!$B$7,F211)</f>
        <v/>
      </c>
    </row>
    <row r="213">
      <c r="A213">
        <f>A212+1</f>
        <v/>
      </c>
      <c r="B213">
        <f>A213/12</f>
        <v/>
      </c>
      <c r="C213" s="17">
        <f>IF($A213&lt;=Dados_Cliente!$B$8*12,C212+Dados_Cliente!$B$7,C212)</f>
        <v/>
      </c>
      <c r="D213" s="17">
        <f>IF($A213&lt;=Dados_Cliente!$B$8*12,D212*(1+Dados_Cliente!$B$24)+Dados_Cliente!$B$7,D212)</f>
        <v/>
      </c>
      <c r="E213" s="17">
        <f>IF($A213&lt;=Dados_Cliente!$B$8*12,E212*(1+Dados_Cliente!$B$27)+Dados_Cliente!$B$7,E212)</f>
        <v/>
      </c>
      <c r="F213" s="17">
        <f>IF($A213&lt;=Dados_Cliente!$B$8*12,F212*(1+Dados_Cliente!$B$28)+Dados_Cliente!$B$7,F212)</f>
        <v/>
      </c>
    </row>
    <row r="214">
      <c r="A214">
        <f>A213+1</f>
        <v/>
      </c>
      <c r="B214">
        <f>A214/12</f>
        <v/>
      </c>
      <c r="C214" s="17">
        <f>IF($A214&lt;=Dados_Cliente!$B$8*12,C213+Dados_Cliente!$B$7,C213)</f>
        <v/>
      </c>
      <c r="D214" s="17">
        <f>IF($A214&lt;=Dados_Cliente!$B$8*12,D213*(1+Dados_Cliente!$B$24)+Dados_Cliente!$B$7,D213)</f>
        <v/>
      </c>
      <c r="E214" s="17">
        <f>IF($A214&lt;=Dados_Cliente!$B$8*12,E213*(1+Dados_Cliente!$B$27)+Dados_Cliente!$B$7,E213)</f>
        <v/>
      </c>
      <c r="F214" s="17">
        <f>IF($A214&lt;=Dados_Cliente!$B$8*12,F213*(1+Dados_Cliente!$B$28)+Dados_Cliente!$B$7,F213)</f>
        <v/>
      </c>
    </row>
    <row r="215">
      <c r="A215">
        <f>A214+1</f>
        <v/>
      </c>
      <c r="B215">
        <f>A215/12</f>
        <v/>
      </c>
      <c r="C215" s="17">
        <f>IF($A215&lt;=Dados_Cliente!$B$8*12,C214+Dados_Cliente!$B$7,C214)</f>
        <v/>
      </c>
      <c r="D215" s="17">
        <f>IF($A215&lt;=Dados_Cliente!$B$8*12,D214*(1+Dados_Cliente!$B$24)+Dados_Cliente!$B$7,D214)</f>
        <v/>
      </c>
      <c r="E215" s="17">
        <f>IF($A215&lt;=Dados_Cliente!$B$8*12,E214*(1+Dados_Cliente!$B$27)+Dados_Cliente!$B$7,E214)</f>
        <v/>
      </c>
      <c r="F215" s="17">
        <f>IF($A215&lt;=Dados_Cliente!$B$8*12,F214*(1+Dados_Cliente!$B$28)+Dados_Cliente!$B$7,F214)</f>
        <v/>
      </c>
    </row>
    <row r="216">
      <c r="A216">
        <f>A215+1</f>
        <v/>
      </c>
      <c r="B216">
        <f>A216/12</f>
        <v/>
      </c>
      <c r="C216" s="17">
        <f>IF($A216&lt;=Dados_Cliente!$B$8*12,C215+Dados_Cliente!$B$7,C215)</f>
        <v/>
      </c>
      <c r="D216" s="17">
        <f>IF($A216&lt;=Dados_Cliente!$B$8*12,D215*(1+Dados_Cliente!$B$24)+Dados_Cliente!$B$7,D215)</f>
        <v/>
      </c>
      <c r="E216" s="17">
        <f>IF($A216&lt;=Dados_Cliente!$B$8*12,E215*(1+Dados_Cliente!$B$27)+Dados_Cliente!$B$7,E215)</f>
        <v/>
      </c>
      <c r="F216" s="17">
        <f>IF($A216&lt;=Dados_Cliente!$B$8*12,F215*(1+Dados_Cliente!$B$28)+Dados_Cliente!$B$7,F215)</f>
        <v/>
      </c>
    </row>
    <row r="217">
      <c r="A217">
        <f>A216+1</f>
        <v/>
      </c>
      <c r="B217">
        <f>A217/12</f>
        <v/>
      </c>
      <c r="C217" s="17">
        <f>IF($A217&lt;=Dados_Cliente!$B$8*12,C216+Dados_Cliente!$B$7,C216)</f>
        <v/>
      </c>
      <c r="D217" s="17">
        <f>IF($A217&lt;=Dados_Cliente!$B$8*12,D216*(1+Dados_Cliente!$B$24)+Dados_Cliente!$B$7,D216)</f>
        <v/>
      </c>
      <c r="E217" s="17">
        <f>IF($A217&lt;=Dados_Cliente!$B$8*12,E216*(1+Dados_Cliente!$B$27)+Dados_Cliente!$B$7,E216)</f>
        <v/>
      </c>
      <c r="F217" s="17">
        <f>IF($A217&lt;=Dados_Cliente!$B$8*12,F216*(1+Dados_Cliente!$B$28)+Dados_Cliente!$B$7,F216)</f>
        <v/>
      </c>
    </row>
    <row r="218">
      <c r="A218">
        <f>A217+1</f>
        <v/>
      </c>
      <c r="B218">
        <f>A218/12</f>
        <v/>
      </c>
      <c r="C218" s="17">
        <f>IF($A218&lt;=Dados_Cliente!$B$8*12,C217+Dados_Cliente!$B$7,C217)</f>
        <v/>
      </c>
      <c r="D218" s="17">
        <f>IF($A218&lt;=Dados_Cliente!$B$8*12,D217*(1+Dados_Cliente!$B$24)+Dados_Cliente!$B$7,D217)</f>
        <v/>
      </c>
      <c r="E218" s="17">
        <f>IF($A218&lt;=Dados_Cliente!$B$8*12,E217*(1+Dados_Cliente!$B$27)+Dados_Cliente!$B$7,E217)</f>
        <v/>
      </c>
      <c r="F218" s="17">
        <f>IF($A218&lt;=Dados_Cliente!$B$8*12,F217*(1+Dados_Cliente!$B$28)+Dados_Cliente!$B$7,F217)</f>
        <v/>
      </c>
    </row>
    <row r="219">
      <c r="A219">
        <f>A218+1</f>
        <v/>
      </c>
      <c r="B219">
        <f>A219/12</f>
        <v/>
      </c>
      <c r="C219" s="17">
        <f>IF($A219&lt;=Dados_Cliente!$B$8*12,C218+Dados_Cliente!$B$7,C218)</f>
        <v/>
      </c>
      <c r="D219" s="17">
        <f>IF($A219&lt;=Dados_Cliente!$B$8*12,D218*(1+Dados_Cliente!$B$24)+Dados_Cliente!$B$7,D218)</f>
        <v/>
      </c>
      <c r="E219" s="17">
        <f>IF($A219&lt;=Dados_Cliente!$B$8*12,E218*(1+Dados_Cliente!$B$27)+Dados_Cliente!$B$7,E218)</f>
        <v/>
      </c>
      <c r="F219" s="17">
        <f>IF($A219&lt;=Dados_Cliente!$B$8*12,F218*(1+Dados_Cliente!$B$28)+Dados_Cliente!$B$7,F218)</f>
        <v/>
      </c>
    </row>
    <row r="220">
      <c r="A220">
        <f>A219+1</f>
        <v/>
      </c>
      <c r="B220">
        <f>A220/12</f>
        <v/>
      </c>
      <c r="C220" s="17">
        <f>IF($A220&lt;=Dados_Cliente!$B$8*12,C219+Dados_Cliente!$B$7,C219)</f>
        <v/>
      </c>
      <c r="D220" s="17">
        <f>IF($A220&lt;=Dados_Cliente!$B$8*12,D219*(1+Dados_Cliente!$B$24)+Dados_Cliente!$B$7,D219)</f>
        <v/>
      </c>
      <c r="E220" s="17">
        <f>IF($A220&lt;=Dados_Cliente!$B$8*12,E219*(1+Dados_Cliente!$B$27)+Dados_Cliente!$B$7,E219)</f>
        <v/>
      </c>
      <c r="F220" s="17">
        <f>IF($A220&lt;=Dados_Cliente!$B$8*12,F219*(1+Dados_Cliente!$B$28)+Dados_Cliente!$B$7,F219)</f>
        <v/>
      </c>
    </row>
    <row r="221">
      <c r="A221">
        <f>A220+1</f>
        <v/>
      </c>
      <c r="B221">
        <f>A221/12</f>
        <v/>
      </c>
      <c r="C221" s="17">
        <f>IF($A221&lt;=Dados_Cliente!$B$8*12,C220+Dados_Cliente!$B$7,C220)</f>
        <v/>
      </c>
      <c r="D221" s="17">
        <f>IF($A221&lt;=Dados_Cliente!$B$8*12,D220*(1+Dados_Cliente!$B$24)+Dados_Cliente!$B$7,D220)</f>
        <v/>
      </c>
      <c r="E221" s="17">
        <f>IF($A221&lt;=Dados_Cliente!$B$8*12,E220*(1+Dados_Cliente!$B$27)+Dados_Cliente!$B$7,E220)</f>
        <v/>
      </c>
      <c r="F221" s="17">
        <f>IF($A221&lt;=Dados_Cliente!$B$8*12,F220*(1+Dados_Cliente!$B$28)+Dados_Cliente!$B$7,F220)</f>
        <v/>
      </c>
    </row>
    <row r="222">
      <c r="A222">
        <f>A221+1</f>
        <v/>
      </c>
      <c r="B222">
        <f>A222/12</f>
        <v/>
      </c>
      <c r="C222" s="17">
        <f>IF($A222&lt;=Dados_Cliente!$B$8*12,C221+Dados_Cliente!$B$7,C221)</f>
        <v/>
      </c>
      <c r="D222" s="17">
        <f>IF($A222&lt;=Dados_Cliente!$B$8*12,D221*(1+Dados_Cliente!$B$24)+Dados_Cliente!$B$7,D221)</f>
        <v/>
      </c>
      <c r="E222" s="17">
        <f>IF($A222&lt;=Dados_Cliente!$B$8*12,E221*(1+Dados_Cliente!$B$27)+Dados_Cliente!$B$7,E221)</f>
        <v/>
      </c>
      <c r="F222" s="17">
        <f>IF($A222&lt;=Dados_Cliente!$B$8*12,F221*(1+Dados_Cliente!$B$28)+Dados_Cliente!$B$7,F221)</f>
        <v/>
      </c>
    </row>
    <row r="223">
      <c r="A223">
        <f>A222+1</f>
        <v/>
      </c>
      <c r="B223">
        <f>A223/12</f>
        <v/>
      </c>
      <c r="C223" s="17">
        <f>IF($A223&lt;=Dados_Cliente!$B$8*12,C222+Dados_Cliente!$B$7,C222)</f>
        <v/>
      </c>
      <c r="D223" s="17">
        <f>IF($A223&lt;=Dados_Cliente!$B$8*12,D222*(1+Dados_Cliente!$B$24)+Dados_Cliente!$B$7,D222)</f>
        <v/>
      </c>
      <c r="E223" s="17">
        <f>IF($A223&lt;=Dados_Cliente!$B$8*12,E222*(1+Dados_Cliente!$B$27)+Dados_Cliente!$B$7,E222)</f>
        <v/>
      </c>
      <c r="F223" s="17">
        <f>IF($A223&lt;=Dados_Cliente!$B$8*12,F222*(1+Dados_Cliente!$B$28)+Dados_Cliente!$B$7,F222)</f>
        <v/>
      </c>
    </row>
    <row r="224">
      <c r="A224">
        <f>A223+1</f>
        <v/>
      </c>
      <c r="B224">
        <f>A224/12</f>
        <v/>
      </c>
      <c r="C224" s="17">
        <f>IF($A224&lt;=Dados_Cliente!$B$8*12,C223+Dados_Cliente!$B$7,C223)</f>
        <v/>
      </c>
      <c r="D224" s="17">
        <f>IF($A224&lt;=Dados_Cliente!$B$8*12,D223*(1+Dados_Cliente!$B$24)+Dados_Cliente!$B$7,D223)</f>
        <v/>
      </c>
      <c r="E224" s="17">
        <f>IF($A224&lt;=Dados_Cliente!$B$8*12,E223*(1+Dados_Cliente!$B$27)+Dados_Cliente!$B$7,E223)</f>
        <v/>
      </c>
      <c r="F224" s="17">
        <f>IF($A224&lt;=Dados_Cliente!$B$8*12,F223*(1+Dados_Cliente!$B$28)+Dados_Cliente!$B$7,F223)</f>
        <v/>
      </c>
    </row>
    <row r="225">
      <c r="A225">
        <f>A224+1</f>
        <v/>
      </c>
      <c r="B225">
        <f>A225/12</f>
        <v/>
      </c>
      <c r="C225" s="17">
        <f>IF($A225&lt;=Dados_Cliente!$B$8*12,C224+Dados_Cliente!$B$7,C224)</f>
        <v/>
      </c>
      <c r="D225" s="17">
        <f>IF($A225&lt;=Dados_Cliente!$B$8*12,D224*(1+Dados_Cliente!$B$24)+Dados_Cliente!$B$7,D224)</f>
        <v/>
      </c>
      <c r="E225" s="17">
        <f>IF($A225&lt;=Dados_Cliente!$B$8*12,E224*(1+Dados_Cliente!$B$27)+Dados_Cliente!$B$7,E224)</f>
        <v/>
      </c>
      <c r="F225" s="17">
        <f>IF($A225&lt;=Dados_Cliente!$B$8*12,F224*(1+Dados_Cliente!$B$28)+Dados_Cliente!$B$7,F224)</f>
        <v/>
      </c>
    </row>
    <row r="226">
      <c r="A226">
        <f>A225+1</f>
        <v/>
      </c>
      <c r="B226">
        <f>A226/12</f>
        <v/>
      </c>
      <c r="C226" s="17">
        <f>IF($A226&lt;=Dados_Cliente!$B$8*12,C225+Dados_Cliente!$B$7,C225)</f>
        <v/>
      </c>
      <c r="D226" s="17">
        <f>IF($A226&lt;=Dados_Cliente!$B$8*12,D225*(1+Dados_Cliente!$B$24)+Dados_Cliente!$B$7,D225)</f>
        <v/>
      </c>
      <c r="E226" s="17">
        <f>IF($A226&lt;=Dados_Cliente!$B$8*12,E225*(1+Dados_Cliente!$B$27)+Dados_Cliente!$B$7,E225)</f>
        <v/>
      </c>
      <c r="F226" s="17">
        <f>IF($A226&lt;=Dados_Cliente!$B$8*12,F225*(1+Dados_Cliente!$B$28)+Dados_Cliente!$B$7,F225)</f>
        <v/>
      </c>
    </row>
    <row r="227">
      <c r="A227">
        <f>A226+1</f>
        <v/>
      </c>
      <c r="B227">
        <f>A227/12</f>
        <v/>
      </c>
      <c r="C227" s="17">
        <f>IF($A227&lt;=Dados_Cliente!$B$8*12,C226+Dados_Cliente!$B$7,C226)</f>
        <v/>
      </c>
      <c r="D227" s="17">
        <f>IF($A227&lt;=Dados_Cliente!$B$8*12,D226*(1+Dados_Cliente!$B$24)+Dados_Cliente!$B$7,D226)</f>
        <v/>
      </c>
      <c r="E227" s="17">
        <f>IF($A227&lt;=Dados_Cliente!$B$8*12,E226*(1+Dados_Cliente!$B$27)+Dados_Cliente!$B$7,E226)</f>
        <v/>
      </c>
      <c r="F227" s="17">
        <f>IF($A227&lt;=Dados_Cliente!$B$8*12,F226*(1+Dados_Cliente!$B$28)+Dados_Cliente!$B$7,F226)</f>
        <v/>
      </c>
    </row>
    <row r="228">
      <c r="A228">
        <f>A227+1</f>
        <v/>
      </c>
      <c r="B228">
        <f>A228/12</f>
        <v/>
      </c>
      <c r="C228" s="17">
        <f>IF($A228&lt;=Dados_Cliente!$B$8*12,C227+Dados_Cliente!$B$7,C227)</f>
        <v/>
      </c>
      <c r="D228" s="17">
        <f>IF($A228&lt;=Dados_Cliente!$B$8*12,D227*(1+Dados_Cliente!$B$24)+Dados_Cliente!$B$7,D227)</f>
        <v/>
      </c>
      <c r="E228" s="17">
        <f>IF($A228&lt;=Dados_Cliente!$B$8*12,E227*(1+Dados_Cliente!$B$27)+Dados_Cliente!$B$7,E227)</f>
        <v/>
      </c>
      <c r="F228" s="17">
        <f>IF($A228&lt;=Dados_Cliente!$B$8*12,F227*(1+Dados_Cliente!$B$28)+Dados_Cliente!$B$7,F227)</f>
        <v/>
      </c>
    </row>
    <row r="229">
      <c r="A229">
        <f>A228+1</f>
        <v/>
      </c>
      <c r="B229">
        <f>A229/12</f>
        <v/>
      </c>
      <c r="C229" s="17">
        <f>IF($A229&lt;=Dados_Cliente!$B$8*12,C228+Dados_Cliente!$B$7,C228)</f>
        <v/>
      </c>
      <c r="D229" s="17">
        <f>IF($A229&lt;=Dados_Cliente!$B$8*12,D228*(1+Dados_Cliente!$B$24)+Dados_Cliente!$B$7,D228)</f>
        <v/>
      </c>
      <c r="E229" s="17">
        <f>IF($A229&lt;=Dados_Cliente!$B$8*12,E228*(1+Dados_Cliente!$B$27)+Dados_Cliente!$B$7,E228)</f>
        <v/>
      </c>
      <c r="F229" s="17">
        <f>IF($A229&lt;=Dados_Cliente!$B$8*12,F228*(1+Dados_Cliente!$B$28)+Dados_Cliente!$B$7,F228)</f>
        <v/>
      </c>
    </row>
    <row r="230">
      <c r="A230">
        <f>A229+1</f>
        <v/>
      </c>
      <c r="B230">
        <f>A230/12</f>
        <v/>
      </c>
      <c r="C230" s="17">
        <f>IF($A230&lt;=Dados_Cliente!$B$8*12,C229+Dados_Cliente!$B$7,C229)</f>
        <v/>
      </c>
      <c r="D230" s="17">
        <f>IF($A230&lt;=Dados_Cliente!$B$8*12,D229*(1+Dados_Cliente!$B$24)+Dados_Cliente!$B$7,D229)</f>
        <v/>
      </c>
      <c r="E230" s="17">
        <f>IF($A230&lt;=Dados_Cliente!$B$8*12,E229*(1+Dados_Cliente!$B$27)+Dados_Cliente!$B$7,E229)</f>
        <v/>
      </c>
      <c r="F230" s="17">
        <f>IF($A230&lt;=Dados_Cliente!$B$8*12,F229*(1+Dados_Cliente!$B$28)+Dados_Cliente!$B$7,F229)</f>
        <v/>
      </c>
    </row>
    <row r="231">
      <c r="A231">
        <f>A230+1</f>
        <v/>
      </c>
      <c r="B231">
        <f>A231/12</f>
        <v/>
      </c>
      <c r="C231" s="17">
        <f>IF($A231&lt;=Dados_Cliente!$B$8*12,C230+Dados_Cliente!$B$7,C230)</f>
        <v/>
      </c>
      <c r="D231" s="17">
        <f>IF($A231&lt;=Dados_Cliente!$B$8*12,D230*(1+Dados_Cliente!$B$24)+Dados_Cliente!$B$7,D230)</f>
        <v/>
      </c>
      <c r="E231" s="17">
        <f>IF($A231&lt;=Dados_Cliente!$B$8*12,E230*(1+Dados_Cliente!$B$27)+Dados_Cliente!$B$7,E230)</f>
        <v/>
      </c>
      <c r="F231" s="17">
        <f>IF($A231&lt;=Dados_Cliente!$B$8*12,F230*(1+Dados_Cliente!$B$28)+Dados_Cliente!$B$7,F230)</f>
        <v/>
      </c>
    </row>
    <row r="232">
      <c r="A232">
        <f>A231+1</f>
        <v/>
      </c>
      <c r="B232">
        <f>A232/12</f>
        <v/>
      </c>
      <c r="C232" s="17">
        <f>IF($A232&lt;=Dados_Cliente!$B$8*12,C231+Dados_Cliente!$B$7,C231)</f>
        <v/>
      </c>
      <c r="D232" s="17">
        <f>IF($A232&lt;=Dados_Cliente!$B$8*12,D231*(1+Dados_Cliente!$B$24)+Dados_Cliente!$B$7,D231)</f>
        <v/>
      </c>
      <c r="E232" s="17">
        <f>IF($A232&lt;=Dados_Cliente!$B$8*12,E231*(1+Dados_Cliente!$B$27)+Dados_Cliente!$B$7,E231)</f>
        <v/>
      </c>
      <c r="F232" s="17">
        <f>IF($A232&lt;=Dados_Cliente!$B$8*12,F231*(1+Dados_Cliente!$B$28)+Dados_Cliente!$B$7,F231)</f>
        <v/>
      </c>
    </row>
    <row r="233">
      <c r="A233">
        <f>A232+1</f>
        <v/>
      </c>
      <c r="B233">
        <f>A233/12</f>
        <v/>
      </c>
      <c r="C233" s="17">
        <f>IF($A233&lt;=Dados_Cliente!$B$8*12,C232+Dados_Cliente!$B$7,C232)</f>
        <v/>
      </c>
      <c r="D233" s="17">
        <f>IF($A233&lt;=Dados_Cliente!$B$8*12,D232*(1+Dados_Cliente!$B$24)+Dados_Cliente!$B$7,D232)</f>
        <v/>
      </c>
      <c r="E233" s="17">
        <f>IF($A233&lt;=Dados_Cliente!$B$8*12,E232*(1+Dados_Cliente!$B$27)+Dados_Cliente!$B$7,E232)</f>
        <v/>
      </c>
      <c r="F233" s="17">
        <f>IF($A233&lt;=Dados_Cliente!$B$8*12,F232*(1+Dados_Cliente!$B$28)+Dados_Cliente!$B$7,F232)</f>
        <v/>
      </c>
    </row>
    <row r="234">
      <c r="A234">
        <f>A233+1</f>
        <v/>
      </c>
      <c r="B234">
        <f>A234/12</f>
        <v/>
      </c>
      <c r="C234" s="17">
        <f>IF($A234&lt;=Dados_Cliente!$B$8*12,C233+Dados_Cliente!$B$7,C233)</f>
        <v/>
      </c>
      <c r="D234" s="17">
        <f>IF($A234&lt;=Dados_Cliente!$B$8*12,D233*(1+Dados_Cliente!$B$24)+Dados_Cliente!$B$7,D233)</f>
        <v/>
      </c>
      <c r="E234" s="17">
        <f>IF($A234&lt;=Dados_Cliente!$B$8*12,E233*(1+Dados_Cliente!$B$27)+Dados_Cliente!$B$7,E233)</f>
        <v/>
      </c>
      <c r="F234" s="17">
        <f>IF($A234&lt;=Dados_Cliente!$B$8*12,F233*(1+Dados_Cliente!$B$28)+Dados_Cliente!$B$7,F233)</f>
        <v/>
      </c>
    </row>
    <row r="235">
      <c r="A235">
        <f>A234+1</f>
        <v/>
      </c>
      <c r="B235">
        <f>A235/12</f>
        <v/>
      </c>
      <c r="C235" s="17">
        <f>IF($A235&lt;=Dados_Cliente!$B$8*12,C234+Dados_Cliente!$B$7,C234)</f>
        <v/>
      </c>
      <c r="D235" s="17">
        <f>IF($A235&lt;=Dados_Cliente!$B$8*12,D234*(1+Dados_Cliente!$B$24)+Dados_Cliente!$B$7,D234)</f>
        <v/>
      </c>
      <c r="E235" s="17">
        <f>IF($A235&lt;=Dados_Cliente!$B$8*12,E234*(1+Dados_Cliente!$B$27)+Dados_Cliente!$B$7,E234)</f>
        <v/>
      </c>
      <c r="F235" s="17">
        <f>IF($A235&lt;=Dados_Cliente!$B$8*12,F234*(1+Dados_Cliente!$B$28)+Dados_Cliente!$B$7,F234)</f>
        <v/>
      </c>
    </row>
    <row r="236">
      <c r="A236">
        <f>A235+1</f>
        <v/>
      </c>
      <c r="B236">
        <f>A236/12</f>
        <v/>
      </c>
      <c r="C236" s="17">
        <f>IF($A236&lt;=Dados_Cliente!$B$8*12,C235+Dados_Cliente!$B$7,C235)</f>
        <v/>
      </c>
      <c r="D236" s="17">
        <f>IF($A236&lt;=Dados_Cliente!$B$8*12,D235*(1+Dados_Cliente!$B$24)+Dados_Cliente!$B$7,D235)</f>
        <v/>
      </c>
      <c r="E236" s="17">
        <f>IF($A236&lt;=Dados_Cliente!$B$8*12,E235*(1+Dados_Cliente!$B$27)+Dados_Cliente!$B$7,E235)</f>
        <v/>
      </c>
      <c r="F236" s="17">
        <f>IF($A236&lt;=Dados_Cliente!$B$8*12,F235*(1+Dados_Cliente!$B$28)+Dados_Cliente!$B$7,F235)</f>
        <v/>
      </c>
    </row>
    <row r="237">
      <c r="A237">
        <f>A236+1</f>
        <v/>
      </c>
      <c r="B237">
        <f>A237/12</f>
        <v/>
      </c>
      <c r="C237" s="17">
        <f>IF($A237&lt;=Dados_Cliente!$B$8*12,C236+Dados_Cliente!$B$7,C236)</f>
        <v/>
      </c>
      <c r="D237" s="17">
        <f>IF($A237&lt;=Dados_Cliente!$B$8*12,D236*(1+Dados_Cliente!$B$24)+Dados_Cliente!$B$7,D236)</f>
        <v/>
      </c>
      <c r="E237" s="17">
        <f>IF($A237&lt;=Dados_Cliente!$B$8*12,E236*(1+Dados_Cliente!$B$27)+Dados_Cliente!$B$7,E236)</f>
        <v/>
      </c>
      <c r="F237" s="17">
        <f>IF($A237&lt;=Dados_Cliente!$B$8*12,F236*(1+Dados_Cliente!$B$28)+Dados_Cliente!$B$7,F236)</f>
        <v/>
      </c>
    </row>
    <row r="238">
      <c r="A238">
        <f>A237+1</f>
        <v/>
      </c>
      <c r="B238">
        <f>A238/12</f>
        <v/>
      </c>
      <c r="C238" s="17">
        <f>IF($A238&lt;=Dados_Cliente!$B$8*12,C237+Dados_Cliente!$B$7,C237)</f>
        <v/>
      </c>
      <c r="D238" s="17">
        <f>IF($A238&lt;=Dados_Cliente!$B$8*12,D237*(1+Dados_Cliente!$B$24)+Dados_Cliente!$B$7,D237)</f>
        <v/>
      </c>
      <c r="E238" s="17">
        <f>IF($A238&lt;=Dados_Cliente!$B$8*12,E237*(1+Dados_Cliente!$B$27)+Dados_Cliente!$B$7,E237)</f>
        <v/>
      </c>
      <c r="F238" s="17">
        <f>IF($A238&lt;=Dados_Cliente!$B$8*12,F237*(1+Dados_Cliente!$B$28)+Dados_Cliente!$B$7,F237)</f>
        <v/>
      </c>
    </row>
    <row r="239">
      <c r="A239">
        <f>A238+1</f>
        <v/>
      </c>
      <c r="B239">
        <f>A239/12</f>
        <v/>
      </c>
      <c r="C239" s="17">
        <f>IF($A239&lt;=Dados_Cliente!$B$8*12,C238+Dados_Cliente!$B$7,C238)</f>
        <v/>
      </c>
      <c r="D239" s="17">
        <f>IF($A239&lt;=Dados_Cliente!$B$8*12,D238*(1+Dados_Cliente!$B$24)+Dados_Cliente!$B$7,D238)</f>
        <v/>
      </c>
      <c r="E239" s="17">
        <f>IF($A239&lt;=Dados_Cliente!$B$8*12,E238*(1+Dados_Cliente!$B$27)+Dados_Cliente!$B$7,E238)</f>
        <v/>
      </c>
      <c r="F239" s="17">
        <f>IF($A239&lt;=Dados_Cliente!$B$8*12,F238*(1+Dados_Cliente!$B$28)+Dados_Cliente!$B$7,F238)</f>
        <v/>
      </c>
    </row>
    <row r="240">
      <c r="A240">
        <f>A239+1</f>
        <v/>
      </c>
      <c r="B240">
        <f>A240/12</f>
        <v/>
      </c>
      <c r="C240" s="17">
        <f>IF($A240&lt;=Dados_Cliente!$B$8*12,C239+Dados_Cliente!$B$7,C239)</f>
        <v/>
      </c>
      <c r="D240" s="17">
        <f>IF($A240&lt;=Dados_Cliente!$B$8*12,D239*(1+Dados_Cliente!$B$24)+Dados_Cliente!$B$7,D239)</f>
        <v/>
      </c>
      <c r="E240" s="17">
        <f>IF($A240&lt;=Dados_Cliente!$B$8*12,E239*(1+Dados_Cliente!$B$27)+Dados_Cliente!$B$7,E239)</f>
        <v/>
      </c>
      <c r="F240" s="17">
        <f>IF($A240&lt;=Dados_Cliente!$B$8*12,F239*(1+Dados_Cliente!$B$28)+Dados_Cliente!$B$7,F239)</f>
        <v/>
      </c>
    </row>
    <row r="241">
      <c r="A241">
        <f>A240+1</f>
        <v/>
      </c>
      <c r="B241">
        <f>A241/12</f>
        <v/>
      </c>
      <c r="C241" s="17">
        <f>IF($A241&lt;=Dados_Cliente!$B$8*12,C240+Dados_Cliente!$B$7,C240)</f>
        <v/>
      </c>
      <c r="D241" s="17">
        <f>IF($A241&lt;=Dados_Cliente!$B$8*12,D240*(1+Dados_Cliente!$B$24)+Dados_Cliente!$B$7,D240)</f>
        <v/>
      </c>
      <c r="E241" s="17">
        <f>IF($A241&lt;=Dados_Cliente!$B$8*12,E240*(1+Dados_Cliente!$B$27)+Dados_Cliente!$B$7,E240)</f>
        <v/>
      </c>
      <c r="F241" s="17">
        <f>IF($A241&lt;=Dados_Cliente!$B$8*12,F240*(1+Dados_Cliente!$B$28)+Dados_Cliente!$B$7,F240)</f>
        <v/>
      </c>
    </row>
    <row r="242">
      <c r="A242">
        <f>A241+1</f>
        <v/>
      </c>
      <c r="B242">
        <f>A242/12</f>
        <v/>
      </c>
      <c r="C242" s="17">
        <f>IF($A242&lt;=Dados_Cliente!$B$8*12,C241+Dados_Cliente!$B$7,C241)</f>
        <v/>
      </c>
      <c r="D242" s="17">
        <f>IF($A242&lt;=Dados_Cliente!$B$8*12,D241*(1+Dados_Cliente!$B$24)+Dados_Cliente!$B$7,D241)</f>
        <v/>
      </c>
      <c r="E242" s="17">
        <f>IF($A242&lt;=Dados_Cliente!$B$8*12,E241*(1+Dados_Cliente!$B$27)+Dados_Cliente!$B$7,E241)</f>
        <v/>
      </c>
      <c r="F242" s="17">
        <f>IF($A242&lt;=Dados_Cliente!$B$8*12,F241*(1+Dados_Cliente!$B$28)+Dados_Cliente!$B$7,F241)</f>
        <v/>
      </c>
    </row>
    <row r="243">
      <c r="A243">
        <f>A242+1</f>
        <v/>
      </c>
      <c r="B243">
        <f>A243/12</f>
        <v/>
      </c>
      <c r="C243" s="17">
        <f>IF($A243&lt;=Dados_Cliente!$B$8*12,C242+Dados_Cliente!$B$7,C242)</f>
        <v/>
      </c>
      <c r="D243" s="17">
        <f>IF($A243&lt;=Dados_Cliente!$B$8*12,D242*(1+Dados_Cliente!$B$24)+Dados_Cliente!$B$7,D242)</f>
        <v/>
      </c>
      <c r="E243" s="17">
        <f>IF($A243&lt;=Dados_Cliente!$B$8*12,E242*(1+Dados_Cliente!$B$27)+Dados_Cliente!$B$7,E242)</f>
        <v/>
      </c>
      <c r="F243" s="17">
        <f>IF($A243&lt;=Dados_Cliente!$B$8*12,F242*(1+Dados_Cliente!$B$28)+Dados_Cliente!$B$7,F242)</f>
        <v/>
      </c>
    </row>
    <row r="244">
      <c r="A244">
        <f>A243+1</f>
        <v/>
      </c>
      <c r="B244">
        <f>A244/12</f>
        <v/>
      </c>
      <c r="C244" s="17">
        <f>IF($A244&lt;=Dados_Cliente!$B$8*12,C243+Dados_Cliente!$B$7,C243)</f>
        <v/>
      </c>
      <c r="D244" s="17">
        <f>IF($A244&lt;=Dados_Cliente!$B$8*12,D243*(1+Dados_Cliente!$B$24)+Dados_Cliente!$B$7,D243)</f>
        <v/>
      </c>
      <c r="E244" s="17">
        <f>IF($A244&lt;=Dados_Cliente!$B$8*12,E243*(1+Dados_Cliente!$B$27)+Dados_Cliente!$B$7,E243)</f>
        <v/>
      </c>
      <c r="F244" s="17">
        <f>IF($A244&lt;=Dados_Cliente!$B$8*12,F243*(1+Dados_Cliente!$B$28)+Dados_Cliente!$B$7,F243)</f>
        <v/>
      </c>
    </row>
    <row r="245">
      <c r="A245">
        <f>A244+1</f>
        <v/>
      </c>
      <c r="B245">
        <f>A245/12</f>
        <v/>
      </c>
      <c r="C245" s="17">
        <f>IF($A245&lt;=Dados_Cliente!$B$8*12,C244+Dados_Cliente!$B$7,C244)</f>
        <v/>
      </c>
      <c r="D245" s="17">
        <f>IF($A245&lt;=Dados_Cliente!$B$8*12,D244*(1+Dados_Cliente!$B$24)+Dados_Cliente!$B$7,D244)</f>
        <v/>
      </c>
      <c r="E245" s="17">
        <f>IF($A245&lt;=Dados_Cliente!$B$8*12,E244*(1+Dados_Cliente!$B$27)+Dados_Cliente!$B$7,E244)</f>
        <v/>
      </c>
      <c r="F245" s="17">
        <f>IF($A245&lt;=Dados_Cliente!$B$8*12,F244*(1+Dados_Cliente!$B$28)+Dados_Cliente!$B$7,F244)</f>
        <v/>
      </c>
    </row>
    <row r="246">
      <c r="A246">
        <f>A245+1</f>
        <v/>
      </c>
      <c r="B246">
        <f>A246/12</f>
        <v/>
      </c>
      <c r="C246" s="17">
        <f>IF($A246&lt;=Dados_Cliente!$B$8*12,C245+Dados_Cliente!$B$7,C245)</f>
        <v/>
      </c>
      <c r="D246" s="17">
        <f>IF($A246&lt;=Dados_Cliente!$B$8*12,D245*(1+Dados_Cliente!$B$24)+Dados_Cliente!$B$7,D245)</f>
        <v/>
      </c>
      <c r="E246" s="17">
        <f>IF($A246&lt;=Dados_Cliente!$B$8*12,E245*(1+Dados_Cliente!$B$27)+Dados_Cliente!$B$7,E245)</f>
        <v/>
      </c>
      <c r="F246" s="17">
        <f>IF($A246&lt;=Dados_Cliente!$B$8*12,F245*(1+Dados_Cliente!$B$28)+Dados_Cliente!$B$7,F245)</f>
        <v/>
      </c>
    </row>
    <row r="247">
      <c r="A247">
        <f>A246+1</f>
        <v/>
      </c>
      <c r="B247">
        <f>A247/12</f>
        <v/>
      </c>
      <c r="C247" s="17">
        <f>IF($A247&lt;=Dados_Cliente!$B$8*12,C246+Dados_Cliente!$B$7,C246)</f>
        <v/>
      </c>
      <c r="D247" s="17">
        <f>IF($A247&lt;=Dados_Cliente!$B$8*12,D246*(1+Dados_Cliente!$B$24)+Dados_Cliente!$B$7,D246)</f>
        <v/>
      </c>
      <c r="E247" s="17">
        <f>IF($A247&lt;=Dados_Cliente!$B$8*12,E246*(1+Dados_Cliente!$B$27)+Dados_Cliente!$B$7,E246)</f>
        <v/>
      </c>
      <c r="F247" s="17">
        <f>IF($A247&lt;=Dados_Cliente!$B$8*12,F246*(1+Dados_Cliente!$B$28)+Dados_Cliente!$B$7,F246)</f>
        <v/>
      </c>
    </row>
    <row r="248">
      <c r="A248">
        <f>A247+1</f>
        <v/>
      </c>
      <c r="B248">
        <f>A248/12</f>
        <v/>
      </c>
      <c r="C248" s="17">
        <f>IF($A248&lt;=Dados_Cliente!$B$8*12,C247+Dados_Cliente!$B$7,C247)</f>
        <v/>
      </c>
      <c r="D248" s="17">
        <f>IF($A248&lt;=Dados_Cliente!$B$8*12,D247*(1+Dados_Cliente!$B$24)+Dados_Cliente!$B$7,D247)</f>
        <v/>
      </c>
      <c r="E248" s="17">
        <f>IF($A248&lt;=Dados_Cliente!$B$8*12,E247*(1+Dados_Cliente!$B$27)+Dados_Cliente!$B$7,E247)</f>
        <v/>
      </c>
      <c r="F248" s="17">
        <f>IF($A248&lt;=Dados_Cliente!$B$8*12,F247*(1+Dados_Cliente!$B$28)+Dados_Cliente!$B$7,F247)</f>
        <v/>
      </c>
    </row>
    <row r="249">
      <c r="A249">
        <f>A248+1</f>
        <v/>
      </c>
      <c r="B249">
        <f>A249/12</f>
        <v/>
      </c>
      <c r="C249" s="17">
        <f>IF($A249&lt;=Dados_Cliente!$B$8*12,C248+Dados_Cliente!$B$7,C248)</f>
        <v/>
      </c>
      <c r="D249" s="17">
        <f>IF($A249&lt;=Dados_Cliente!$B$8*12,D248*(1+Dados_Cliente!$B$24)+Dados_Cliente!$B$7,D248)</f>
        <v/>
      </c>
      <c r="E249" s="17">
        <f>IF($A249&lt;=Dados_Cliente!$B$8*12,E248*(1+Dados_Cliente!$B$27)+Dados_Cliente!$B$7,E248)</f>
        <v/>
      </c>
      <c r="F249" s="17">
        <f>IF($A249&lt;=Dados_Cliente!$B$8*12,F248*(1+Dados_Cliente!$B$28)+Dados_Cliente!$B$7,F248)</f>
        <v/>
      </c>
    </row>
    <row r="250">
      <c r="A250">
        <f>A249+1</f>
        <v/>
      </c>
      <c r="B250">
        <f>A250/12</f>
        <v/>
      </c>
      <c r="C250" s="17">
        <f>IF($A250&lt;=Dados_Cliente!$B$8*12,C249+Dados_Cliente!$B$7,C249)</f>
        <v/>
      </c>
      <c r="D250" s="17">
        <f>IF($A250&lt;=Dados_Cliente!$B$8*12,D249*(1+Dados_Cliente!$B$24)+Dados_Cliente!$B$7,D249)</f>
        <v/>
      </c>
      <c r="E250" s="17">
        <f>IF($A250&lt;=Dados_Cliente!$B$8*12,E249*(1+Dados_Cliente!$B$27)+Dados_Cliente!$B$7,E249)</f>
        <v/>
      </c>
      <c r="F250" s="17">
        <f>IF($A250&lt;=Dados_Cliente!$B$8*12,F249*(1+Dados_Cliente!$B$28)+Dados_Cliente!$B$7,F249)</f>
        <v/>
      </c>
    </row>
    <row r="251">
      <c r="A251">
        <f>A250+1</f>
        <v/>
      </c>
      <c r="B251">
        <f>A251/12</f>
        <v/>
      </c>
      <c r="C251" s="17">
        <f>IF($A251&lt;=Dados_Cliente!$B$8*12,C250+Dados_Cliente!$B$7,C250)</f>
        <v/>
      </c>
      <c r="D251" s="17">
        <f>IF($A251&lt;=Dados_Cliente!$B$8*12,D250*(1+Dados_Cliente!$B$24)+Dados_Cliente!$B$7,D250)</f>
        <v/>
      </c>
      <c r="E251" s="17">
        <f>IF($A251&lt;=Dados_Cliente!$B$8*12,E250*(1+Dados_Cliente!$B$27)+Dados_Cliente!$B$7,E250)</f>
        <v/>
      </c>
      <c r="F251" s="17">
        <f>IF($A251&lt;=Dados_Cliente!$B$8*12,F250*(1+Dados_Cliente!$B$28)+Dados_Cliente!$B$7,F250)</f>
        <v/>
      </c>
    </row>
    <row r="252">
      <c r="A252">
        <f>A251+1</f>
        <v/>
      </c>
      <c r="B252">
        <f>A252/12</f>
        <v/>
      </c>
      <c r="C252" s="17">
        <f>IF($A252&lt;=Dados_Cliente!$B$8*12,C251+Dados_Cliente!$B$7,C251)</f>
        <v/>
      </c>
      <c r="D252" s="17">
        <f>IF($A252&lt;=Dados_Cliente!$B$8*12,D251*(1+Dados_Cliente!$B$24)+Dados_Cliente!$B$7,D251)</f>
        <v/>
      </c>
      <c r="E252" s="17">
        <f>IF($A252&lt;=Dados_Cliente!$B$8*12,E251*(1+Dados_Cliente!$B$27)+Dados_Cliente!$B$7,E251)</f>
        <v/>
      </c>
      <c r="F252" s="17">
        <f>IF($A252&lt;=Dados_Cliente!$B$8*12,F251*(1+Dados_Cliente!$B$28)+Dados_Cliente!$B$7,F251)</f>
        <v/>
      </c>
    </row>
    <row r="253">
      <c r="A253">
        <f>A252+1</f>
        <v/>
      </c>
      <c r="B253">
        <f>A253/12</f>
        <v/>
      </c>
      <c r="C253" s="17">
        <f>IF($A253&lt;=Dados_Cliente!$B$8*12,C252+Dados_Cliente!$B$7,C252)</f>
        <v/>
      </c>
      <c r="D253" s="17">
        <f>IF($A253&lt;=Dados_Cliente!$B$8*12,D252*(1+Dados_Cliente!$B$24)+Dados_Cliente!$B$7,D252)</f>
        <v/>
      </c>
      <c r="E253" s="17">
        <f>IF($A253&lt;=Dados_Cliente!$B$8*12,E252*(1+Dados_Cliente!$B$27)+Dados_Cliente!$B$7,E252)</f>
        <v/>
      </c>
      <c r="F253" s="17">
        <f>IF($A253&lt;=Dados_Cliente!$B$8*12,F252*(1+Dados_Cliente!$B$28)+Dados_Cliente!$B$7,F252)</f>
        <v/>
      </c>
    </row>
    <row r="254">
      <c r="A254">
        <f>A253+1</f>
        <v/>
      </c>
      <c r="B254">
        <f>A254/12</f>
        <v/>
      </c>
      <c r="C254" s="17">
        <f>IF($A254&lt;=Dados_Cliente!$B$8*12,C253+Dados_Cliente!$B$7,C253)</f>
        <v/>
      </c>
      <c r="D254" s="17">
        <f>IF($A254&lt;=Dados_Cliente!$B$8*12,D253*(1+Dados_Cliente!$B$24)+Dados_Cliente!$B$7,D253)</f>
        <v/>
      </c>
      <c r="E254" s="17">
        <f>IF($A254&lt;=Dados_Cliente!$B$8*12,E253*(1+Dados_Cliente!$B$27)+Dados_Cliente!$B$7,E253)</f>
        <v/>
      </c>
      <c r="F254" s="17">
        <f>IF($A254&lt;=Dados_Cliente!$B$8*12,F253*(1+Dados_Cliente!$B$28)+Dados_Cliente!$B$7,F253)</f>
        <v/>
      </c>
    </row>
    <row r="255">
      <c r="A255">
        <f>A254+1</f>
        <v/>
      </c>
      <c r="B255">
        <f>A255/12</f>
        <v/>
      </c>
      <c r="C255" s="17">
        <f>IF($A255&lt;=Dados_Cliente!$B$8*12,C254+Dados_Cliente!$B$7,C254)</f>
        <v/>
      </c>
      <c r="D255" s="17">
        <f>IF($A255&lt;=Dados_Cliente!$B$8*12,D254*(1+Dados_Cliente!$B$24)+Dados_Cliente!$B$7,D254)</f>
        <v/>
      </c>
      <c r="E255" s="17">
        <f>IF($A255&lt;=Dados_Cliente!$B$8*12,E254*(1+Dados_Cliente!$B$27)+Dados_Cliente!$B$7,E254)</f>
        <v/>
      </c>
      <c r="F255" s="17">
        <f>IF($A255&lt;=Dados_Cliente!$B$8*12,F254*(1+Dados_Cliente!$B$28)+Dados_Cliente!$B$7,F254)</f>
        <v/>
      </c>
    </row>
    <row r="256">
      <c r="A256">
        <f>A255+1</f>
        <v/>
      </c>
      <c r="B256">
        <f>A256/12</f>
        <v/>
      </c>
      <c r="C256" s="17">
        <f>IF($A256&lt;=Dados_Cliente!$B$8*12,C255+Dados_Cliente!$B$7,C255)</f>
        <v/>
      </c>
      <c r="D256" s="17">
        <f>IF($A256&lt;=Dados_Cliente!$B$8*12,D255*(1+Dados_Cliente!$B$24)+Dados_Cliente!$B$7,D255)</f>
        <v/>
      </c>
      <c r="E256" s="17">
        <f>IF($A256&lt;=Dados_Cliente!$B$8*12,E255*(1+Dados_Cliente!$B$27)+Dados_Cliente!$B$7,E255)</f>
        <v/>
      </c>
      <c r="F256" s="17">
        <f>IF($A256&lt;=Dados_Cliente!$B$8*12,F255*(1+Dados_Cliente!$B$28)+Dados_Cliente!$B$7,F255)</f>
        <v/>
      </c>
    </row>
    <row r="257">
      <c r="A257">
        <f>A256+1</f>
        <v/>
      </c>
      <c r="B257">
        <f>A257/12</f>
        <v/>
      </c>
      <c r="C257" s="17">
        <f>IF($A257&lt;=Dados_Cliente!$B$8*12,C256+Dados_Cliente!$B$7,C256)</f>
        <v/>
      </c>
      <c r="D257" s="17">
        <f>IF($A257&lt;=Dados_Cliente!$B$8*12,D256*(1+Dados_Cliente!$B$24)+Dados_Cliente!$B$7,D256)</f>
        <v/>
      </c>
      <c r="E257" s="17">
        <f>IF($A257&lt;=Dados_Cliente!$B$8*12,E256*(1+Dados_Cliente!$B$27)+Dados_Cliente!$B$7,E256)</f>
        <v/>
      </c>
      <c r="F257" s="17">
        <f>IF($A257&lt;=Dados_Cliente!$B$8*12,F256*(1+Dados_Cliente!$B$28)+Dados_Cliente!$B$7,F256)</f>
        <v/>
      </c>
    </row>
    <row r="258">
      <c r="A258">
        <f>A257+1</f>
        <v/>
      </c>
      <c r="B258">
        <f>A258/12</f>
        <v/>
      </c>
      <c r="C258" s="17">
        <f>IF($A258&lt;=Dados_Cliente!$B$8*12,C257+Dados_Cliente!$B$7,C257)</f>
        <v/>
      </c>
      <c r="D258" s="17">
        <f>IF($A258&lt;=Dados_Cliente!$B$8*12,D257*(1+Dados_Cliente!$B$24)+Dados_Cliente!$B$7,D257)</f>
        <v/>
      </c>
      <c r="E258" s="17">
        <f>IF($A258&lt;=Dados_Cliente!$B$8*12,E257*(1+Dados_Cliente!$B$27)+Dados_Cliente!$B$7,E257)</f>
        <v/>
      </c>
      <c r="F258" s="17">
        <f>IF($A258&lt;=Dados_Cliente!$B$8*12,F257*(1+Dados_Cliente!$B$28)+Dados_Cliente!$B$7,F257)</f>
        <v/>
      </c>
    </row>
    <row r="259">
      <c r="A259">
        <f>A258+1</f>
        <v/>
      </c>
      <c r="B259">
        <f>A259/12</f>
        <v/>
      </c>
      <c r="C259" s="17">
        <f>IF($A259&lt;=Dados_Cliente!$B$8*12,C258+Dados_Cliente!$B$7,C258)</f>
        <v/>
      </c>
      <c r="D259" s="17">
        <f>IF($A259&lt;=Dados_Cliente!$B$8*12,D258*(1+Dados_Cliente!$B$24)+Dados_Cliente!$B$7,D258)</f>
        <v/>
      </c>
      <c r="E259" s="17">
        <f>IF($A259&lt;=Dados_Cliente!$B$8*12,E258*(1+Dados_Cliente!$B$27)+Dados_Cliente!$B$7,E258)</f>
        <v/>
      </c>
      <c r="F259" s="17">
        <f>IF($A259&lt;=Dados_Cliente!$B$8*12,F258*(1+Dados_Cliente!$B$28)+Dados_Cliente!$B$7,F258)</f>
        <v/>
      </c>
    </row>
    <row r="260">
      <c r="A260">
        <f>A259+1</f>
        <v/>
      </c>
      <c r="B260">
        <f>A260/12</f>
        <v/>
      </c>
      <c r="C260" s="17">
        <f>IF($A260&lt;=Dados_Cliente!$B$8*12,C259+Dados_Cliente!$B$7,C259)</f>
        <v/>
      </c>
      <c r="D260" s="17">
        <f>IF($A260&lt;=Dados_Cliente!$B$8*12,D259*(1+Dados_Cliente!$B$24)+Dados_Cliente!$B$7,D259)</f>
        <v/>
      </c>
      <c r="E260" s="17">
        <f>IF($A260&lt;=Dados_Cliente!$B$8*12,E259*(1+Dados_Cliente!$B$27)+Dados_Cliente!$B$7,E259)</f>
        <v/>
      </c>
      <c r="F260" s="17">
        <f>IF($A260&lt;=Dados_Cliente!$B$8*12,F259*(1+Dados_Cliente!$B$28)+Dados_Cliente!$B$7,F259)</f>
        <v/>
      </c>
    </row>
    <row r="261">
      <c r="A261">
        <f>A260+1</f>
        <v/>
      </c>
      <c r="B261">
        <f>A261/12</f>
        <v/>
      </c>
      <c r="C261" s="17">
        <f>IF($A261&lt;=Dados_Cliente!$B$8*12,C260+Dados_Cliente!$B$7,C260)</f>
        <v/>
      </c>
      <c r="D261" s="17">
        <f>IF($A261&lt;=Dados_Cliente!$B$8*12,D260*(1+Dados_Cliente!$B$24)+Dados_Cliente!$B$7,D260)</f>
        <v/>
      </c>
      <c r="E261" s="17">
        <f>IF($A261&lt;=Dados_Cliente!$B$8*12,E260*(1+Dados_Cliente!$B$27)+Dados_Cliente!$B$7,E260)</f>
        <v/>
      </c>
      <c r="F261" s="17">
        <f>IF($A261&lt;=Dados_Cliente!$B$8*12,F260*(1+Dados_Cliente!$B$28)+Dados_Cliente!$B$7,F260)</f>
        <v/>
      </c>
    </row>
    <row r="262">
      <c r="A262">
        <f>A261+1</f>
        <v/>
      </c>
      <c r="B262">
        <f>A262/12</f>
        <v/>
      </c>
      <c r="C262" s="17">
        <f>IF($A262&lt;=Dados_Cliente!$B$8*12,C261+Dados_Cliente!$B$7,C261)</f>
        <v/>
      </c>
      <c r="D262" s="17">
        <f>IF($A262&lt;=Dados_Cliente!$B$8*12,D261*(1+Dados_Cliente!$B$24)+Dados_Cliente!$B$7,D261)</f>
        <v/>
      </c>
      <c r="E262" s="17">
        <f>IF($A262&lt;=Dados_Cliente!$B$8*12,E261*(1+Dados_Cliente!$B$27)+Dados_Cliente!$B$7,E261)</f>
        <v/>
      </c>
      <c r="F262" s="17">
        <f>IF($A262&lt;=Dados_Cliente!$B$8*12,F261*(1+Dados_Cliente!$B$28)+Dados_Cliente!$B$7,F261)</f>
        <v/>
      </c>
    </row>
    <row r="263">
      <c r="A263">
        <f>A262+1</f>
        <v/>
      </c>
      <c r="B263">
        <f>A263/12</f>
        <v/>
      </c>
      <c r="C263" s="17">
        <f>IF($A263&lt;=Dados_Cliente!$B$8*12,C262+Dados_Cliente!$B$7,C262)</f>
        <v/>
      </c>
      <c r="D263" s="17">
        <f>IF($A263&lt;=Dados_Cliente!$B$8*12,D262*(1+Dados_Cliente!$B$24)+Dados_Cliente!$B$7,D262)</f>
        <v/>
      </c>
      <c r="E263" s="17">
        <f>IF($A263&lt;=Dados_Cliente!$B$8*12,E262*(1+Dados_Cliente!$B$27)+Dados_Cliente!$B$7,E262)</f>
        <v/>
      </c>
      <c r="F263" s="17">
        <f>IF($A263&lt;=Dados_Cliente!$B$8*12,F262*(1+Dados_Cliente!$B$28)+Dados_Cliente!$B$7,F262)</f>
        <v/>
      </c>
    </row>
    <row r="264">
      <c r="A264">
        <f>A263+1</f>
        <v/>
      </c>
      <c r="B264">
        <f>A264/12</f>
        <v/>
      </c>
      <c r="C264" s="17">
        <f>IF($A264&lt;=Dados_Cliente!$B$8*12,C263+Dados_Cliente!$B$7,C263)</f>
        <v/>
      </c>
      <c r="D264" s="17">
        <f>IF($A264&lt;=Dados_Cliente!$B$8*12,D263*(1+Dados_Cliente!$B$24)+Dados_Cliente!$B$7,D263)</f>
        <v/>
      </c>
      <c r="E264" s="17">
        <f>IF($A264&lt;=Dados_Cliente!$B$8*12,E263*(1+Dados_Cliente!$B$27)+Dados_Cliente!$B$7,E263)</f>
        <v/>
      </c>
      <c r="F264" s="17">
        <f>IF($A264&lt;=Dados_Cliente!$B$8*12,F263*(1+Dados_Cliente!$B$28)+Dados_Cliente!$B$7,F263)</f>
        <v/>
      </c>
    </row>
    <row r="265">
      <c r="A265">
        <f>A264+1</f>
        <v/>
      </c>
      <c r="B265">
        <f>A265/12</f>
        <v/>
      </c>
      <c r="C265" s="17">
        <f>IF($A265&lt;=Dados_Cliente!$B$8*12,C264+Dados_Cliente!$B$7,C264)</f>
        <v/>
      </c>
      <c r="D265" s="17">
        <f>IF($A265&lt;=Dados_Cliente!$B$8*12,D264*(1+Dados_Cliente!$B$24)+Dados_Cliente!$B$7,D264)</f>
        <v/>
      </c>
      <c r="E265" s="17">
        <f>IF($A265&lt;=Dados_Cliente!$B$8*12,E264*(1+Dados_Cliente!$B$27)+Dados_Cliente!$B$7,E264)</f>
        <v/>
      </c>
      <c r="F265" s="17">
        <f>IF($A265&lt;=Dados_Cliente!$B$8*12,F264*(1+Dados_Cliente!$B$28)+Dados_Cliente!$B$7,F264)</f>
        <v/>
      </c>
    </row>
    <row r="266">
      <c r="A266">
        <f>A265+1</f>
        <v/>
      </c>
      <c r="B266">
        <f>A266/12</f>
        <v/>
      </c>
      <c r="C266" s="17">
        <f>IF($A266&lt;=Dados_Cliente!$B$8*12,C265+Dados_Cliente!$B$7,C265)</f>
        <v/>
      </c>
      <c r="D266" s="17">
        <f>IF($A266&lt;=Dados_Cliente!$B$8*12,D265*(1+Dados_Cliente!$B$24)+Dados_Cliente!$B$7,D265)</f>
        <v/>
      </c>
      <c r="E266" s="17">
        <f>IF($A266&lt;=Dados_Cliente!$B$8*12,E265*(1+Dados_Cliente!$B$27)+Dados_Cliente!$B$7,E265)</f>
        <v/>
      </c>
      <c r="F266" s="17">
        <f>IF($A266&lt;=Dados_Cliente!$B$8*12,F265*(1+Dados_Cliente!$B$28)+Dados_Cliente!$B$7,F265)</f>
        <v/>
      </c>
    </row>
    <row r="267">
      <c r="A267">
        <f>A266+1</f>
        <v/>
      </c>
      <c r="B267">
        <f>A267/12</f>
        <v/>
      </c>
      <c r="C267" s="17">
        <f>IF($A267&lt;=Dados_Cliente!$B$8*12,C266+Dados_Cliente!$B$7,C266)</f>
        <v/>
      </c>
      <c r="D267" s="17">
        <f>IF($A267&lt;=Dados_Cliente!$B$8*12,D266*(1+Dados_Cliente!$B$24)+Dados_Cliente!$B$7,D266)</f>
        <v/>
      </c>
      <c r="E267" s="17">
        <f>IF($A267&lt;=Dados_Cliente!$B$8*12,E266*(1+Dados_Cliente!$B$27)+Dados_Cliente!$B$7,E266)</f>
        <v/>
      </c>
      <c r="F267" s="17">
        <f>IF($A267&lt;=Dados_Cliente!$B$8*12,F266*(1+Dados_Cliente!$B$28)+Dados_Cliente!$B$7,F266)</f>
        <v/>
      </c>
    </row>
    <row r="268">
      <c r="A268">
        <f>A267+1</f>
        <v/>
      </c>
      <c r="B268">
        <f>A268/12</f>
        <v/>
      </c>
      <c r="C268" s="17">
        <f>IF($A268&lt;=Dados_Cliente!$B$8*12,C267+Dados_Cliente!$B$7,C267)</f>
        <v/>
      </c>
      <c r="D268" s="17">
        <f>IF($A268&lt;=Dados_Cliente!$B$8*12,D267*(1+Dados_Cliente!$B$24)+Dados_Cliente!$B$7,D267)</f>
        <v/>
      </c>
      <c r="E268" s="17">
        <f>IF($A268&lt;=Dados_Cliente!$B$8*12,E267*(1+Dados_Cliente!$B$27)+Dados_Cliente!$B$7,E267)</f>
        <v/>
      </c>
      <c r="F268" s="17">
        <f>IF($A268&lt;=Dados_Cliente!$B$8*12,F267*(1+Dados_Cliente!$B$28)+Dados_Cliente!$B$7,F267)</f>
        <v/>
      </c>
    </row>
    <row r="269">
      <c r="A269">
        <f>A268+1</f>
        <v/>
      </c>
      <c r="B269">
        <f>A269/12</f>
        <v/>
      </c>
      <c r="C269" s="17">
        <f>IF($A269&lt;=Dados_Cliente!$B$8*12,C268+Dados_Cliente!$B$7,C268)</f>
        <v/>
      </c>
      <c r="D269" s="17">
        <f>IF($A269&lt;=Dados_Cliente!$B$8*12,D268*(1+Dados_Cliente!$B$24)+Dados_Cliente!$B$7,D268)</f>
        <v/>
      </c>
      <c r="E269" s="17">
        <f>IF($A269&lt;=Dados_Cliente!$B$8*12,E268*(1+Dados_Cliente!$B$27)+Dados_Cliente!$B$7,E268)</f>
        <v/>
      </c>
      <c r="F269" s="17">
        <f>IF($A269&lt;=Dados_Cliente!$B$8*12,F268*(1+Dados_Cliente!$B$28)+Dados_Cliente!$B$7,F268)</f>
        <v/>
      </c>
    </row>
    <row r="270">
      <c r="A270">
        <f>A269+1</f>
        <v/>
      </c>
      <c r="B270">
        <f>A270/12</f>
        <v/>
      </c>
      <c r="C270" s="17">
        <f>IF($A270&lt;=Dados_Cliente!$B$8*12,C269+Dados_Cliente!$B$7,C269)</f>
        <v/>
      </c>
      <c r="D270" s="17">
        <f>IF($A270&lt;=Dados_Cliente!$B$8*12,D269*(1+Dados_Cliente!$B$24)+Dados_Cliente!$B$7,D269)</f>
        <v/>
      </c>
      <c r="E270" s="17">
        <f>IF($A270&lt;=Dados_Cliente!$B$8*12,E269*(1+Dados_Cliente!$B$27)+Dados_Cliente!$B$7,E269)</f>
        <v/>
      </c>
      <c r="F270" s="17">
        <f>IF($A270&lt;=Dados_Cliente!$B$8*12,F269*(1+Dados_Cliente!$B$28)+Dados_Cliente!$B$7,F269)</f>
        <v/>
      </c>
    </row>
    <row r="271">
      <c r="A271">
        <f>A270+1</f>
        <v/>
      </c>
      <c r="B271">
        <f>A271/12</f>
        <v/>
      </c>
      <c r="C271" s="17">
        <f>IF($A271&lt;=Dados_Cliente!$B$8*12,C270+Dados_Cliente!$B$7,C270)</f>
        <v/>
      </c>
      <c r="D271" s="17">
        <f>IF($A271&lt;=Dados_Cliente!$B$8*12,D270*(1+Dados_Cliente!$B$24)+Dados_Cliente!$B$7,D270)</f>
        <v/>
      </c>
      <c r="E271" s="17">
        <f>IF($A271&lt;=Dados_Cliente!$B$8*12,E270*(1+Dados_Cliente!$B$27)+Dados_Cliente!$B$7,E270)</f>
        <v/>
      </c>
      <c r="F271" s="17">
        <f>IF($A271&lt;=Dados_Cliente!$B$8*12,F270*(1+Dados_Cliente!$B$28)+Dados_Cliente!$B$7,F270)</f>
        <v/>
      </c>
    </row>
    <row r="272">
      <c r="A272">
        <f>A271+1</f>
        <v/>
      </c>
      <c r="B272">
        <f>A272/12</f>
        <v/>
      </c>
      <c r="C272" s="17">
        <f>IF($A272&lt;=Dados_Cliente!$B$8*12,C271+Dados_Cliente!$B$7,C271)</f>
        <v/>
      </c>
      <c r="D272" s="17">
        <f>IF($A272&lt;=Dados_Cliente!$B$8*12,D271*(1+Dados_Cliente!$B$24)+Dados_Cliente!$B$7,D271)</f>
        <v/>
      </c>
      <c r="E272" s="17">
        <f>IF($A272&lt;=Dados_Cliente!$B$8*12,E271*(1+Dados_Cliente!$B$27)+Dados_Cliente!$B$7,E271)</f>
        <v/>
      </c>
      <c r="F272" s="17">
        <f>IF($A272&lt;=Dados_Cliente!$B$8*12,F271*(1+Dados_Cliente!$B$28)+Dados_Cliente!$B$7,F271)</f>
        <v/>
      </c>
    </row>
    <row r="273">
      <c r="A273">
        <f>A272+1</f>
        <v/>
      </c>
      <c r="B273">
        <f>A273/12</f>
        <v/>
      </c>
      <c r="C273" s="17">
        <f>IF($A273&lt;=Dados_Cliente!$B$8*12,C272+Dados_Cliente!$B$7,C272)</f>
        <v/>
      </c>
      <c r="D273" s="17">
        <f>IF($A273&lt;=Dados_Cliente!$B$8*12,D272*(1+Dados_Cliente!$B$24)+Dados_Cliente!$B$7,D272)</f>
        <v/>
      </c>
      <c r="E273" s="17">
        <f>IF($A273&lt;=Dados_Cliente!$B$8*12,E272*(1+Dados_Cliente!$B$27)+Dados_Cliente!$B$7,E272)</f>
        <v/>
      </c>
      <c r="F273" s="17">
        <f>IF($A273&lt;=Dados_Cliente!$B$8*12,F272*(1+Dados_Cliente!$B$28)+Dados_Cliente!$B$7,F272)</f>
        <v/>
      </c>
    </row>
    <row r="274">
      <c r="A274">
        <f>A273+1</f>
        <v/>
      </c>
      <c r="B274">
        <f>A274/12</f>
        <v/>
      </c>
      <c r="C274" s="17">
        <f>IF($A274&lt;=Dados_Cliente!$B$8*12,C273+Dados_Cliente!$B$7,C273)</f>
        <v/>
      </c>
      <c r="D274" s="17">
        <f>IF($A274&lt;=Dados_Cliente!$B$8*12,D273*(1+Dados_Cliente!$B$24)+Dados_Cliente!$B$7,D273)</f>
        <v/>
      </c>
      <c r="E274" s="17">
        <f>IF($A274&lt;=Dados_Cliente!$B$8*12,E273*(1+Dados_Cliente!$B$27)+Dados_Cliente!$B$7,E273)</f>
        <v/>
      </c>
      <c r="F274" s="17">
        <f>IF($A274&lt;=Dados_Cliente!$B$8*12,F273*(1+Dados_Cliente!$B$28)+Dados_Cliente!$B$7,F273)</f>
        <v/>
      </c>
    </row>
    <row r="275">
      <c r="A275">
        <f>A274+1</f>
        <v/>
      </c>
      <c r="B275">
        <f>A275/12</f>
        <v/>
      </c>
      <c r="C275" s="17">
        <f>IF($A275&lt;=Dados_Cliente!$B$8*12,C274+Dados_Cliente!$B$7,C274)</f>
        <v/>
      </c>
      <c r="D275" s="17">
        <f>IF($A275&lt;=Dados_Cliente!$B$8*12,D274*(1+Dados_Cliente!$B$24)+Dados_Cliente!$B$7,D274)</f>
        <v/>
      </c>
      <c r="E275" s="17">
        <f>IF($A275&lt;=Dados_Cliente!$B$8*12,E274*(1+Dados_Cliente!$B$27)+Dados_Cliente!$B$7,E274)</f>
        <v/>
      </c>
      <c r="F275" s="17">
        <f>IF($A275&lt;=Dados_Cliente!$B$8*12,F274*(1+Dados_Cliente!$B$28)+Dados_Cliente!$B$7,F274)</f>
        <v/>
      </c>
    </row>
    <row r="276">
      <c r="A276">
        <f>A275+1</f>
        <v/>
      </c>
      <c r="B276">
        <f>A276/12</f>
        <v/>
      </c>
      <c r="C276" s="17">
        <f>IF($A276&lt;=Dados_Cliente!$B$8*12,C275+Dados_Cliente!$B$7,C275)</f>
        <v/>
      </c>
      <c r="D276" s="17">
        <f>IF($A276&lt;=Dados_Cliente!$B$8*12,D275*(1+Dados_Cliente!$B$24)+Dados_Cliente!$B$7,D275)</f>
        <v/>
      </c>
      <c r="E276" s="17">
        <f>IF($A276&lt;=Dados_Cliente!$B$8*12,E275*(1+Dados_Cliente!$B$27)+Dados_Cliente!$B$7,E275)</f>
        <v/>
      </c>
      <c r="F276" s="17">
        <f>IF($A276&lt;=Dados_Cliente!$B$8*12,F275*(1+Dados_Cliente!$B$28)+Dados_Cliente!$B$7,F275)</f>
        <v/>
      </c>
    </row>
    <row r="277">
      <c r="A277">
        <f>A276+1</f>
        <v/>
      </c>
      <c r="B277">
        <f>A277/12</f>
        <v/>
      </c>
      <c r="C277" s="17">
        <f>IF($A277&lt;=Dados_Cliente!$B$8*12,C276+Dados_Cliente!$B$7,C276)</f>
        <v/>
      </c>
      <c r="D277" s="17">
        <f>IF($A277&lt;=Dados_Cliente!$B$8*12,D276*(1+Dados_Cliente!$B$24)+Dados_Cliente!$B$7,D276)</f>
        <v/>
      </c>
      <c r="E277" s="17">
        <f>IF($A277&lt;=Dados_Cliente!$B$8*12,E276*(1+Dados_Cliente!$B$27)+Dados_Cliente!$B$7,E276)</f>
        <v/>
      </c>
      <c r="F277" s="17">
        <f>IF($A277&lt;=Dados_Cliente!$B$8*12,F276*(1+Dados_Cliente!$B$28)+Dados_Cliente!$B$7,F276)</f>
        <v/>
      </c>
    </row>
    <row r="278">
      <c r="A278">
        <f>A277+1</f>
        <v/>
      </c>
      <c r="B278">
        <f>A278/12</f>
        <v/>
      </c>
      <c r="C278" s="17">
        <f>IF($A278&lt;=Dados_Cliente!$B$8*12,C277+Dados_Cliente!$B$7,C277)</f>
        <v/>
      </c>
      <c r="D278" s="17">
        <f>IF($A278&lt;=Dados_Cliente!$B$8*12,D277*(1+Dados_Cliente!$B$24)+Dados_Cliente!$B$7,D277)</f>
        <v/>
      </c>
      <c r="E278" s="17">
        <f>IF($A278&lt;=Dados_Cliente!$B$8*12,E277*(1+Dados_Cliente!$B$27)+Dados_Cliente!$B$7,E277)</f>
        <v/>
      </c>
      <c r="F278" s="17">
        <f>IF($A278&lt;=Dados_Cliente!$B$8*12,F277*(1+Dados_Cliente!$B$28)+Dados_Cliente!$B$7,F277)</f>
        <v/>
      </c>
    </row>
    <row r="279">
      <c r="A279">
        <f>A278+1</f>
        <v/>
      </c>
      <c r="B279">
        <f>A279/12</f>
        <v/>
      </c>
      <c r="C279" s="17">
        <f>IF($A279&lt;=Dados_Cliente!$B$8*12,C278+Dados_Cliente!$B$7,C278)</f>
        <v/>
      </c>
      <c r="D279" s="17">
        <f>IF($A279&lt;=Dados_Cliente!$B$8*12,D278*(1+Dados_Cliente!$B$24)+Dados_Cliente!$B$7,D278)</f>
        <v/>
      </c>
      <c r="E279" s="17">
        <f>IF($A279&lt;=Dados_Cliente!$B$8*12,E278*(1+Dados_Cliente!$B$27)+Dados_Cliente!$B$7,E278)</f>
        <v/>
      </c>
      <c r="F279" s="17">
        <f>IF($A279&lt;=Dados_Cliente!$B$8*12,F278*(1+Dados_Cliente!$B$28)+Dados_Cliente!$B$7,F278)</f>
        <v/>
      </c>
    </row>
    <row r="280">
      <c r="A280">
        <f>A279+1</f>
        <v/>
      </c>
      <c r="B280">
        <f>A280/12</f>
        <v/>
      </c>
      <c r="C280" s="17">
        <f>IF($A280&lt;=Dados_Cliente!$B$8*12,C279+Dados_Cliente!$B$7,C279)</f>
        <v/>
      </c>
      <c r="D280" s="17">
        <f>IF($A280&lt;=Dados_Cliente!$B$8*12,D279*(1+Dados_Cliente!$B$24)+Dados_Cliente!$B$7,D279)</f>
        <v/>
      </c>
      <c r="E280" s="17">
        <f>IF($A280&lt;=Dados_Cliente!$B$8*12,E279*(1+Dados_Cliente!$B$27)+Dados_Cliente!$B$7,E279)</f>
        <v/>
      </c>
      <c r="F280" s="17">
        <f>IF($A280&lt;=Dados_Cliente!$B$8*12,F279*(1+Dados_Cliente!$B$28)+Dados_Cliente!$B$7,F279)</f>
        <v/>
      </c>
    </row>
    <row r="281">
      <c r="A281">
        <f>A280+1</f>
        <v/>
      </c>
      <c r="B281">
        <f>A281/12</f>
        <v/>
      </c>
      <c r="C281" s="17">
        <f>IF($A281&lt;=Dados_Cliente!$B$8*12,C280+Dados_Cliente!$B$7,C280)</f>
        <v/>
      </c>
      <c r="D281" s="17">
        <f>IF($A281&lt;=Dados_Cliente!$B$8*12,D280*(1+Dados_Cliente!$B$24)+Dados_Cliente!$B$7,D280)</f>
        <v/>
      </c>
      <c r="E281" s="17">
        <f>IF($A281&lt;=Dados_Cliente!$B$8*12,E280*(1+Dados_Cliente!$B$27)+Dados_Cliente!$B$7,E280)</f>
        <v/>
      </c>
      <c r="F281" s="17">
        <f>IF($A281&lt;=Dados_Cliente!$B$8*12,F280*(1+Dados_Cliente!$B$28)+Dados_Cliente!$B$7,F280)</f>
        <v/>
      </c>
    </row>
    <row r="282">
      <c r="A282">
        <f>A281+1</f>
        <v/>
      </c>
      <c r="B282">
        <f>A282/12</f>
        <v/>
      </c>
      <c r="C282" s="17">
        <f>IF($A282&lt;=Dados_Cliente!$B$8*12,C281+Dados_Cliente!$B$7,C281)</f>
        <v/>
      </c>
      <c r="D282" s="17">
        <f>IF($A282&lt;=Dados_Cliente!$B$8*12,D281*(1+Dados_Cliente!$B$24)+Dados_Cliente!$B$7,D281)</f>
        <v/>
      </c>
      <c r="E282" s="17">
        <f>IF($A282&lt;=Dados_Cliente!$B$8*12,E281*(1+Dados_Cliente!$B$27)+Dados_Cliente!$B$7,E281)</f>
        <v/>
      </c>
      <c r="F282" s="17">
        <f>IF($A282&lt;=Dados_Cliente!$B$8*12,F281*(1+Dados_Cliente!$B$28)+Dados_Cliente!$B$7,F281)</f>
        <v/>
      </c>
    </row>
    <row r="283">
      <c r="A283">
        <f>A282+1</f>
        <v/>
      </c>
      <c r="B283">
        <f>A283/12</f>
        <v/>
      </c>
      <c r="C283" s="17">
        <f>IF($A283&lt;=Dados_Cliente!$B$8*12,C282+Dados_Cliente!$B$7,C282)</f>
        <v/>
      </c>
      <c r="D283" s="17">
        <f>IF($A283&lt;=Dados_Cliente!$B$8*12,D282*(1+Dados_Cliente!$B$24)+Dados_Cliente!$B$7,D282)</f>
        <v/>
      </c>
      <c r="E283" s="17">
        <f>IF($A283&lt;=Dados_Cliente!$B$8*12,E282*(1+Dados_Cliente!$B$27)+Dados_Cliente!$B$7,E282)</f>
        <v/>
      </c>
      <c r="F283" s="17">
        <f>IF($A283&lt;=Dados_Cliente!$B$8*12,F282*(1+Dados_Cliente!$B$28)+Dados_Cliente!$B$7,F282)</f>
        <v/>
      </c>
    </row>
    <row r="284">
      <c r="A284">
        <f>A283+1</f>
        <v/>
      </c>
      <c r="B284">
        <f>A284/12</f>
        <v/>
      </c>
      <c r="C284" s="17">
        <f>IF($A284&lt;=Dados_Cliente!$B$8*12,C283+Dados_Cliente!$B$7,C283)</f>
        <v/>
      </c>
      <c r="D284" s="17">
        <f>IF($A284&lt;=Dados_Cliente!$B$8*12,D283*(1+Dados_Cliente!$B$24)+Dados_Cliente!$B$7,D283)</f>
        <v/>
      </c>
      <c r="E284" s="17">
        <f>IF($A284&lt;=Dados_Cliente!$B$8*12,E283*(1+Dados_Cliente!$B$27)+Dados_Cliente!$B$7,E283)</f>
        <v/>
      </c>
      <c r="F284" s="17">
        <f>IF($A284&lt;=Dados_Cliente!$B$8*12,F283*(1+Dados_Cliente!$B$28)+Dados_Cliente!$B$7,F283)</f>
        <v/>
      </c>
    </row>
    <row r="285">
      <c r="A285">
        <f>A284+1</f>
        <v/>
      </c>
      <c r="B285">
        <f>A285/12</f>
        <v/>
      </c>
      <c r="C285" s="17">
        <f>IF($A285&lt;=Dados_Cliente!$B$8*12,C284+Dados_Cliente!$B$7,C284)</f>
        <v/>
      </c>
      <c r="D285" s="17">
        <f>IF($A285&lt;=Dados_Cliente!$B$8*12,D284*(1+Dados_Cliente!$B$24)+Dados_Cliente!$B$7,D284)</f>
        <v/>
      </c>
      <c r="E285" s="17">
        <f>IF($A285&lt;=Dados_Cliente!$B$8*12,E284*(1+Dados_Cliente!$B$27)+Dados_Cliente!$B$7,E284)</f>
        <v/>
      </c>
      <c r="F285" s="17">
        <f>IF($A285&lt;=Dados_Cliente!$B$8*12,F284*(1+Dados_Cliente!$B$28)+Dados_Cliente!$B$7,F284)</f>
        <v/>
      </c>
    </row>
    <row r="286">
      <c r="A286">
        <f>A285+1</f>
        <v/>
      </c>
      <c r="B286">
        <f>A286/12</f>
        <v/>
      </c>
      <c r="C286" s="17">
        <f>IF($A286&lt;=Dados_Cliente!$B$8*12,C285+Dados_Cliente!$B$7,C285)</f>
        <v/>
      </c>
      <c r="D286" s="17">
        <f>IF($A286&lt;=Dados_Cliente!$B$8*12,D285*(1+Dados_Cliente!$B$24)+Dados_Cliente!$B$7,D285)</f>
        <v/>
      </c>
      <c r="E286" s="17">
        <f>IF($A286&lt;=Dados_Cliente!$B$8*12,E285*(1+Dados_Cliente!$B$27)+Dados_Cliente!$B$7,E285)</f>
        <v/>
      </c>
      <c r="F286" s="17">
        <f>IF($A286&lt;=Dados_Cliente!$B$8*12,F285*(1+Dados_Cliente!$B$28)+Dados_Cliente!$B$7,F285)</f>
        <v/>
      </c>
    </row>
    <row r="287">
      <c r="A287">
        <f>A286+1</f>
        <v/>
      </c>
      <c r="B287">
        <f>A287/12</f>
        <v/>
      </c>
      <c r="C287" s="17">
        <f>IF($A287&lt;=Dados_Cliente!$B$8*12,C286+Dados_Cliente!$B$7,C286)</f>
        <v/>
      </c>
      <c r="D287" s="17">
        <f>IF($A287&lt;=Dados_Cliente!$B$8*12,D286*(1+Dados_Cliente!$B$24)+Dados_Cliente!$B$7,D286)</f>
        <v/>
      </c>
      <c r="E287" s="17">
        <f>IF($A287&lt;=Dados_Cliente!$B$8*12,E286*(1+Dados_Cliente!$B$27)+Dados_Cliente!$B$7,E286)</f>
        <v/>
      </c>
      <c r="F287" s="17">
        <f>IF($A287&lt;=Dados_Cliente!$B$8*12,F286*(1+Dados_Cliente!$B$28)+Dados_Cliente!$B$7,F286)</f>
        <v/>
      </c>
    </row>
    <row r="288">
      <c r="A288">
        <f>A287+1</f>
        <v/>
      </c>
      <c r="B288">
        <f>A288/12</f>
        <v/>
      </c>
      <c r="C288" s="17">
        <f>IF($A288&lt;=Dados_Cliente!$B$8*12,C287+Dados_Cliente!$B$7,C287)</f>
        <v/>
      </c>
      <c r="D288" s="17">
        <f>IF($A288&lt;=Dados_Cliente!$B$8*12,D287*(1+Dados_Cliente!$B$24)+Dados_Cliente!$B$7,D287)</f>
        <v/>
      </c>
      <c r="E288" s="17">
        <f>IF($A288&lt;=Dados_Cliente!$B$8*12,E287*(1+Dados_Cliente!$B$27)+Dados_Cliente!$B$7,E287)</f>
        <v/>
      </c>
      <c r="F288" s="17">
        <f>IF($A288&lt;=Dados_Cliente!$B$8*12,F287*(1+Dados_Cliente!$B$28)+Dados_Cliente!$B$7,F287)</f>
        <v/>
      </c>
    </row>
    <row r="289">
      <c r="A289">
        <f>A288+1</f>
        <v/>
      </c>
      <c r="B289">
        <f>A289/12</f>
        <v/>
      </c>
      <c r="C289" s="17">
        <f>IF($A289&lt;=Dados_Cliente!$B$8*12,C288+Dados_Cliente!$B$7,C288)</f>
        <v/>
      </c>
      <c r="D289" s="17">
        <f>IF($A289&lt;=Dados_Cliente!$B$8*12,D288*(1+Dados_Cliente!$B$24)+Dados_Cliente!$B$7,D288)</f>
        <v/>
      </c>
      <c r="E289" s="17">
        <f>IF($A289&lt;=Dados_Cliente!$B$8*12,E288*(1+Dados_Cliente!$B$27)+Dados_Cliente!$B$7,E288)</f>
        <v/>
      </c>
      <c r="F289" s="17">
        <f>IF($A289&lt;=Dados_Cliente!$B$8*12,F288*(1+Dados_Cliente!$B$28)+Dados_Cliente!$B$7,F288)</f>
        <v/>
      </c>
    </row>
    <row r="290">
      <c r="A290">
        <f>A289+1</f>
        <v/>
      </c>
      <c r="B290">
        <f>A290/12</f>
        <v/>
      </c>
      <c r="C290" s="17">
        <f>IF($A290&lt;=Dados_Cliente!$B$8*12,C289+Dados_Cliente!$B$7,C289)</f>
        <v/>
      </c>
      <c r="D290" s="17">
        <f>IF($A290&lt;=Dados_Cliente!$B$8*12,D289*(1+Dados_Cliente!$B$24)+Dados_Cliente!$B$7,D289)</f>
        <v/>
      </c>
      <c r="E290" s="17">
        <f>IF($A290&lt;=Dados_Cliente!$B$8*12,E289*(1+Dados_Cliente!$B$27)+Dados_Cliente!$B$7,E289)</f>
        <v/>
      </c>
      <c r="F290" s="17">
        <f>IF($A290&lt;=Dados_Cliente!$B$8*12,F289*(1+Dados_Cliente!$B$28)+Dados_Cliente!$B$7,F289)</f>
        <v/>
      </c>
    </row>
    <row r="291">
      <c r="A291">
        <f>A290+1</f>
        <v/>
      </c>
      <c r="B291">
        <f>A291/12</f>
        <v/>
      </c>
      <c r="C291" s="17">
        <f>IF($A291&lt;=Dados_Cliente!$B$8*12,C290+Dados_Cliente!$B$7,C290)</f>
        <v/>
      </c>
      <c r="D291" s="17">
        <f>IF($A291&lt;=Dados_Cliente!$B$8*12,D290*(1+Dados_Cliente!$B$24)+Dados_Cliente!$B$7,D290)</f>
        <v/>
      </c>
      <c r="E291" s="17">
        <f>IF($A291&lt;=Dados_Cliente!$B$8*12,E290*(1+Dados_Cliente!$B$27)+Dados_Cliente!$B$7,E290)</f>
        <v/>
      </c>
      <c r="F291" s="17">
        <f>IF($A291&lt;=Dados_Cliente!$B$8*12,F290*(1+Dados_Cliente!$B$28)+Dados_Cliente!$B$7,F290)</f>
        <v/>
      </c>
    </row>
    <row r="292">
      <c r="A292">
        <f>A291+1</f>
        <v/>
      </c>
      <c r="B292">
        <f>A292/12</f>
        <v/>
      </c>
      <c r="C292" s="17">
        <f>IF($A292&lt;=Dados_Cliente!$B$8*12,C291+Dados_Cliente!$B$7,C291)</f>
        <v/>
      </c>
      <c r="D292" s="17">
        <f>IF($A292&lt;=Dados_Cliente!$B$8*12,D291*(1+Dados_Cliente!$B$24)+Dados_Cliente!$B$7,D291)</f>
        <v/>
      </c>
      <c r="E292" s="17">
        <f>IF($A292&lt;=Dados_Cliente!$B$8*12,E291*(1+Dados_Cliente!$B$27)+Dados_Cliente!$B$7,E291)</f>
        <v/>
      </c>
      <c r="F292" s="17">
        <f>IF($A292&lt;=Dados_Cliente!$B$8*12,F291*(1+Dados_Cliente!$B$28)+Dados_Cliente!$B$7,F291)</f>
        <v/>
      </c>
    </row>
    <row r="293">
      <c r="A293">
        <f>A292+1</f>
        <v/>
      </c>
      <c r="B293">
        <f>A293/12</f>
        <v/>
      </c>
      <c r="C293" s="17">
        <f>IF($A293&lt;=Dados_Cliente!$B$8*12,C292+Dados_Cliente!$B$7,C292)</f>
        <v/>
      </c>
      <c r="D293" s="17">
        <f>IF($A293&lt;=Dados_Cliente!$B$8*12,D292*(1+Dados_Cliente!$B$24)+Dados_Cliente!$B$7,D292)</f>
        <v/>
      </c>
      <c r="E293" s="17">
        <f>IF($A293&lt;=Dados_Cliente!$B$8*12,E292*(1+Dados_Cliente!$B$27)+Dados_Cliente!$B$7,E292)</f>
        <v/>
      </c>
      <c r="F293" s="17">
        <f>IF($A293&lt;=Dados_Cliente!$B$8*12,F292*(1+Dados_Cliente!$B$28)+Dados_Cliente!$B$7,F292)</f>
        <v/>
      </c>
    </row>
    <row r="294">
      <c r="A294">
        <f>A293+1</f>
        <v/>
      </c>
      <c r="B294">
        <f>A294/12</f>
        <v/>
      </c>
      <c r="C294" s="17">
        <f>IF($A294&lt;=Dados_Cliente!$B$8*12,C293+Dados_Cliente!$B$7,C293)</f>
        <v/>
      </c>
      <c r="D294" s="17">
        <f>IF($A294&lt;=Dados_Cliente!$B$8*12,D293*(1+Dados_Cliente!$B$24)+Dados_Cliente!$B$7,D293)</f>
        <v/>
      </c>
      <c r="E294" s="17">
        <f>IF($A294&lt;=Dados_Cliente!$B$8*12,E293*(1+Dados_Cliente!$B$27)+Dados_Cliente!$B$7,E293)</f>
        <v/>
      </c>
      <c r="F294" s="17">
        <f>IF($A294&lt;=Dados_Cliente!$B$8*12,F293*(1+Dados_Cliente!$B$28)+Dados_Cliente!$B$7,F293)</f>
        <v/>
      </c>
    </row>
    <row r="295">
      <c r="A295">
        <f>A294+1</f>
        <v/>
      </c>
      <c r="B295">
        <f>A295/12</f>
        <v/>
      </c>
      <c r="C295" s="17">
        <f>IF($A295&lt;=Dados_Cliente!$B$8*12,C294+Dados_Cliente!$B$7,C294)</f>
        <v/>
      </c>
      <c r="D295" s="17">
        <f>IF($A295&lt;=Dados_Cliente!$B$8*12,D294*(1+Dados_Cliente!$B$24)+Dados_Cliente!$B$7,D294)</f>
        <v/>
      </c>
      <c r="E295" s="17">
        <f>IF($A295&lt;=Dados_Cliente!$B$8*12,E294*(1+Dados_Cliente!$B$27)+Dados_Cliente!$B$7,E294)</f>
        <v/>
      </c>
      <c r="F295" s="17">
        <f>IF($A295&lt;=Dados_Cliente!$B$8*12,F294*(1+Dados_Cliente!$B$28)+Dados_Cliente!$B$7,F294)</f>
        <v/>
      </c>
    </row>
    <row r="296">
      <c r="A296">
        <f>A295+1</f>
        <v/>
      </c>
      <c r="B296">
        <f>A296/12</f>
        <v/>
      </c>
      <c r="C296" s="17">
        <f>IF($A296&lt;=Dados_Cliente!$B$8*12,C295+Dados_Cliente!$B$7,C295)</f>
        <v/>
      </c>
      <c r="D296" s="17">
        <f>IF($A296&lt;=Dados_Cliente!$B$8*12,D295*(1+Dados_Cliente!$B$24)+Dados_Cliente!$B$7,D295)</f>
        <v/>
      </c>
      <c r="E296" s="17">
        <f>IF($A296&lt;=Dados_Cliente!$B$8*12,E295*(1+Dados_Cliente!$B$27)+Dados_Cliente!$B$7,E295)</f>
        <v/>
      </c>
      <c r="F296" s="17">
        <f>IF($A296&lt;=Dados_Cliente!$B$8*12,F295*(1+Dados_Cliente!$B$28)+Dados_Cliente!$B$7,F295)</f>
        <v/>
      </c>
    </row>
    <row r="297">
      <c r="A297">
        <f>A296+1</f>
        <v/>
      </c>
      <c r="B297">
        <f>A297/12</f>
        <v/>
      </c>
      <c r="C297" s="17">
        <f>IF($A297&lt;=Dados_Cliente!$B$8*12,C296+Dados_Cliente!$B$7,C296)</f>
        <v/>
      </c>
      <c r="D297" s="17">
        <f>IF($A297&lt;=Dados_Cliente!$B$8*12,D296*(1+Dados_Cliente!$B$24)+Dados_Cliente!$B$7,D296)</f>
        <v/>
      </c>
      <c r="E297" s="17">
        <f>IF($A297&lt;=Dados_Cliente!$B$8*12,E296*(1+Dados_Cliente!$B$27)+Dados_Cliente!$B$7,E296)</f>
        <v/>
      </c>
      <c r="F297" s="17">
        <f>IF($A297&lt;=Dados_Cliente!$B$8*12,F296*(1+Dados_Cliente!$B$28)+Dados_Cliente!$B$7,F296)</f>
        <v/>
      </c>
    </row>
    <row r="298">
      <c r="A298">
        <f>A297+1</f>
        <v/>
      </c>
      <c r="B298">
        <f>A298/12</f>
        <v/>
      </c>
      <c r="C298" s="17">
        <f>IF($A298&lt;=Dados_Cliente!$B$8*12,C297+Dados_Cliente!$B$7,C297)</f>
        <v/>
      </c>
      <c r="D298" s="17">
        <f>IF($A298&lt;=Dados_Cliente!$B$8*12,D297*(1+Dados_Cliente!$B$24)+Dados_Cliente!$B$7,D297)</f>
        <v/>
      </c>
      <c r="E298" s="17">
        <f>IF($A298&lt;=Dados_Cliente!$B$8*12,E297*(1+Dados_Cliente!$B$27)+Dados_Cliente!$B$7,E297)</f>
        <v/>
      </c>
      <c r="F298" s="17">
        <f>IF($A298&lt;=Dados_Cliente!$B$8*12,F297*(1+Dados_Cliente!$B$28)+Dados_Cliente!$B$7,F297)</f>
        <v/>
      </c>
    </row>
    <row r="299">
      <c r="A299">
        <f>A298+1</f>
        <v/>
      </c>
      <c r="B299">
        <f>A299/12</f>
        <v/>
      </c>
      <c r="C299" s="17">
        <f>IF($A299&lt;=Dados_Cliente!$B$8*12,C298+Dados_Cliente!$B$7,C298)</f>
        <v/>
      </c>
      <c r="D299" s="17">
        <f>IF($A299&lt;=Dados_Cliente!$B$8*12,D298*(1+Dados_Cliente!$B$24)+Dados_Cliente!$B$7,D298)</f>
        <v/>
      </c>
      <c r="E299" s="17">
        <f>IF($A299&lt;=Dados_Cliente!$B$8*12,E298*(1+Dados_Cliente!$B$27)+Dados_Cliente!$B$7,E298)</f>
        <v/>
      </c>
      <c r="F299" s="17">
        <f>IF($A299&lt;=Dados_Cliente!$B$8*12,F298*(1+Dados_Cliente!$B$28)+Dados_Cliente!$B$7,F298)</f>
        <v/>
      </c>
    </row>
    <row r="300">
      <c r="A300">
        <f>A299+1</f>
        <v/>
      </c>
      <c r="B300">
        <f>A300/12</f>
        <v/>
      </c>
      <c r="C300" s="17">
        <f>IF($A300&lt;=Dados_Cliente!$B$8*12,C299+Dados_Cliente!$B$7,C299)</f>
        <v/>
      </c>
      <c r="D300" s="17">
        <f>IF($A300&lt;=Dados_Cliente!$B$8*12,D299*(1+Dados_Cliente!$B$24)+Dados_Cliente!$B$7,D299)</f>
        <v/>
      </c>
      <c r="E300" s="17">
        <f>IF($A300&lt;=Dados_Cliente!$B$8*12,E299*(1+Dados_Cliente!$B$27)+Dados_Cliente!$B$7,E299)</f>
        <v/>
      </c>
      <c r="F300" s="17">
        <f>IF($A300&lt;=Dados_Cliente!$B$8*12,F299*(1+Dados_Cliente!$B$28)+Dados_Cliente!$B$7,F299)</f>
        <v/>
      </c>
    </row>
    <row r="301">
      <c r="A301">
        <f>A300+1</f>
        <v/>
      </c>
      <c r="B301">
        <f>A301/12</f>
        <v/>
      </c>
      <c r="C301" s="17">
        <f>IF($A301&lt;=Dados_Cliente!$B$8*12,C300+Dados_Cliente!$B$7,C300)</f>
        <v/>
      </c>
      <c r="D301" s="17">
        <f>IF($A301&lt;=Dados_Cliente!$B$8*12,D300*(1+Dados_Cliente!$B$24)+Dados_Cliente!$B$7,D300)</f>
        <v/>
      </c>
      <c r="E301" s="17">
        <f>IF($A301&lt;=Dados_Cliente!$B$8*12,E300*(1+Dados_Cliente!$B$27)+Dados_Cliente!$B$7,E300)</f>
        <v/>
      </c>
      <c r="F301" s="17">
        <f>IF($A301&lt;=Dados_Cliente!$B$8*12,F300*(1+Dados_Cliente!$B$28)+Dados_Cliente!$B$7,F300)</f>
        <v/>
      </c>
    </row>
    <row r="302">
      <c r="A302">
        <f>A301+1</f>
        <v/>
      </c>
      <c r="B302">
        <f>A302/12</f>
        <v/>
      </c>
      <c r="C302" s="17">
        <f>IF($A302&lt;=Dados_Cliente!$B$8*12,C301+Dados_Cliente!$B$7,C301)</f>
        <v/>
      </c>
      <c r="D302" s="17">
        <f>IF($A302&lt;=Dados_Cliente!$B$8*12,D301*(1+Dados_Cliente!$B$24)+Dados_Cliente!$B$7,D301)</f>
        <v/>
      </c>
      <c r="E302" s="17">
        <f>IF($A302&lt;=Dados_Cliente!$B$8*12,E301*(1+Dados_Cliente!$B$27)+Dados_Cliente!$B$7,E301)</f>
        <v/>
      </c>
      <c r="F302" s="17">
        <f>IF($A302&lt;=Dados_Cliente!$B$8*12,F301*(1+Dados_Cliente!$B$28)+Dados_Cliente!$B$7,F301)</f>
        <v/>
      </c>
    </row>
    <row r="303">
      <c r="A303">
        <f>A302+1</f>
        <v/>
      </c>
      <c r="B303">
        <f>A303/12</f>
        <v/>
      </c>
      <c r="C303" s="17">
        <f>IF($A303&lt;=Dados_Cliente!$B$8*12,C302+Dados_Cliente!$B$7,C302)</f>
        <v/>
      </c>
      <c r="D303" s="17">
        <f>IF($A303&lt;=Dados_Cliente!$B$8*12,D302*(1+Dados_Cliente!$B$24)+Dados_Cliente!$B$7,D302)</f>
        <v/>
      </c>
      <c r="E303" s="17">
        <f>IF($A303&lt;=Dados_Cliente!$B$8*12,E302*(1+Dados_Cliente!$B$27)+Dados_Cliente!$B$7,E302)</f>
        <v/>
      </c>
      <c r="F303" s="17">
        <f>IF($A303&lt;=Dados_Cliente!$B$8*12,F302*(1+Dados_Cliente!$B$28)+Dados_Cliente!$B$7,F302)</f>
        <v/>
      </c>
    </row>
    <row r="304">
      <c r="A304">
        <f>A303+1</f>
        <v/>
      </c>
      <c r="B304">
        <f>A304/12</f>
        <v/>
      </c>
      <c r="C304" s="17">
        <f>IF($A304&lt;=Dados_Cliente!$B$8*12,C303+Dados_Cliente!$B$7,C303)</f>
        <v/>
      </c>
      <c r="D304" s="17">
        <f>IF($A304&lt;=Dados_Cliente!$B$8*12,D303*(1+Dados_Cliente!$B$24)+Dados_Cliente!$B$7,D303)</f>
        <v/>
      </c>
      <c r="E304" s="17">
        <f>IF($A304&lt;=Dados_Cliente!$B$8*12,E303*(1+Dados_Cliente!$B$27)+Dados_Cliente!$B$7,E303)</f>
        <v/>
      </c>
      <c r="F304" s="17">
        <f>IF($A304&lt;=Dados_Cliente!$B$8*12,F303*(1+Dados_Cliente!$B$28)+Dados_Cliente!$B$7,F303)</f>
        <v/>
      </c>
    </row>
    <row r="305">
      <c r="A305">
        <f>A304+1</f>
        <v/>
      </c>
      <c r="B305">
        <f>A305/12</f>
        <v/>
      </c>
      <c r="C305" s="17">
        <f>IF($A305&lt;=Dados_Cliente!$B$8*12,C304+Dados_Cliente!$B$7,C304)</f>
        <v/>
      </c>
      <c r="D305" s="17">
        <f>IF($A305&lt;=Dados_Cliente!$B$8*12,D304*(1+Dados_Cliente!$B$24)+Dados_Cliente!$B$7,D304)</f>
        <v/>
      </c>
      <c r="E305" s="17">
        <f>IF($A305&lt;=Dados_Cliente!$B$8*12,E304*(1+Dados_Cliente!$B$27)+Dados_Cliente!$B$7,E304)</f>
        <v/>
      </c>
      <c r="F305" s="17">
        <f>IF($A305&lt;=Dados_Cliente!$B$8*12,F304*(1+Dados_Cliente!$B$28)+Dados_Cliente!$B$7,F304)</f>
        <v/>
      </c>
    </row>
    <row r="306">
      <c r="A306">
        <f>A305+1</f>
        <v/>
      </c>
      <c r="B306">
        <f>A306/12</f>
        <v/>
      </c>
      <c r="C306" s="17">
        <f>IF($A306&lt;=Dados_Cliente!$B$8*12,C305+Dados_Cliente!$B$7,C305)</f>
        <v/>
      </c>
      <c r="D306" s="17">
        <f>IF($A306&lt;=Dados_Cliente!$B$8*12,D305*(1+Dados_Cliente!$B$24)+Dados_Cliente!$B$7,D305)</f>
        <v/>
      </c>
      <c r="E306" s="17">
        <f>IF($A306&lt;=Dados_Cliente!$B$8*12,E305*(1+Dados_Cliente!$B$27)+Dados_Cliente!$B$7,E305)</f>
        <v/>
      </c>
      <c r="F306" s="17">
        <f>IF($A306&lt;=Dados_Cliente!$B$8*12,F305*(1+Dados_Cliente!$B$28)+Dados_Cliente!$B$7,F305)</f>
        <v/>
      </c>
    </row>
    <row r="307">
      <c r="A307">
        <f>A306+1</f>
        <v/>
      </c>
      <c r="B307">
        <f>A307/12</f>
        <v/>
      </c>
      <c r="C307" s="17">
        <f>IF($A307&lt;=Dados_Cliente!$B$8*12,C306+Dados_Cliente!$B$7,C306)</f>
        <v/>
      </c>
      <c r="D307" s="17">
        <f>IF($A307&lt;=Dados_Cliente!$B$8*12,D306*(1+Dados_Cliente!$B$24)+Dados_Cliente!$B$7,D306)</f>
        <v/>
      </c>
      <c r="E307" s="17">
        <f>IF($A307&lt;=Dados_Cliente!$B$8*12,E306*(1+Dados_Cliente!$B$27)+Dados_Cliente!$B$7,E306)</f>
        <v/>
      </c>
      <c r="F307" s="17">
        <f>IF($A307&lt;=Dados_Cliente!$B$8*12,F306*(1+Dados_Cliente!$B$28)+Dados_Cliente!$B$7,F306)</f>
        <v/>
      </c>
    </row>
    <row r="308">
      <c r="A308">
        <f>A307+1</f>
        <v/>
      </c>
      <c r="B308">
        <f>A308/12</f>
        <v/>
      </c>
      <c r="C308" s="17">
        <f>IF($A308&lt;=Dados_Cliente!$B$8*12,C307+Dados_Cliente!$B$7,C307)</f>
        <v/>
      </c>
      <c r="D308" s="17">
        <f>IF($A308&lt;=Dados_Cliente!$B$8*12,D307*(1+Dados_Cliente!$B$24)+Dados_Cliente!$B$7,D307)</f>
        <v/>
      </c>
      <c r="E308" s="17">
        <f>IF($A308&lt;=Dados_Cliente!$B$8*12,E307*(1+Dados_Cliente!$B$27)+Dados_Cliente!$B$7,E307)</f>
        <v/>
      </c>
      <c r="F308" s="17">
        <f>IF($A308&lt;=Dados_Cliente!$B$8*12,F307*(1+Dados_Cliente!$B$28)+Dados_Cliente!$B$7,F307)</f>
        <v/>
      </c>
    </row>
    <row r="309">
      <c r="A309">
        <f>A308+1</f>
        <v/>
      </c>
      <c r="B309">
        <f>A309/12</f>
        <v/>
      </c>
      <c r="C309" s="17">
        <f>IF($A309&lt;=Dados_Cliente!$B$8*12,C308+Dados_Cliente!$B$7,C308)</f>
        <v/>
      </c>
      <c r="D309" s="17">
        <f>IF($A309&lt;=Dados_Cliente!$B$8*12,D308*(1+Dados_Cliente!$B$24)+Dados_Cliente!$B$7,D308)</f>
        <v/>
      </c>
      <c r="E309" s="17">
        <f>IF($A309&lt;=Dados_Cliente!$B$8*12,E308*(1+Dados_Cliente!$B$27)+Dados_Cliente!$B$7,E308)</f>
        <v/>
      </c>
      <c r="F309" s="17">
        <f>IF($A309&lt;=Dados_Cliente!$B$8*12,F308*(1+Dados_Cliente!$B$28)+Dados_Cliente!$B$7,F308)</f>
        <v/>
      </c>
    </row>
    <row r="310">
      <c r="A310">
        <f>A309+1</f>
        <v/>
      </c>
      <c r="B310">
        <f>A310/12</f>
        <v/>
      </c>
      <c r="C310" s="17">
        <f>IF($A310&lt;=Dados_Cliente!$B$8*12,C309+Dados_Cliente!$B$7,C309)</f>
        <v/>
      </c>
      <c r="D310" s="17">
        <f>IF($A310&lt;=Dados_Cliente!$B$8*12,D309*(1+Dados_Cliente!$B$24)+Dados_Cliente!$B$7,D309)</f>
        <v/>
      </c>
      <c r="E310" s="17">
        <f>IF($A310&lt;=Dados_Cliente!$B$8*12,E309*(1+Dados_Cliente!$B$27)+Dados_Cliente!$B$7,E309)</f>
        <v/>
      </c>
      <c r="F310" s="17">
        <f>IF($A310&lt;=Dados_Cliente!$B$8*12,F309*(1+Dados_Cliente!$B$28)+Dados_Cliente!$B$7,F309)</f>
        <v/>
      </c>
    </row>
    <row r="311">
      <c r="A311">
        <f>A310+1</f>
        <v/>
      </c>
      <c r="B311">
        <f>A311/12</f>
        <v/>
      </c>
      <c r="C311" s="17">
        <f>IF($A311&lt;=Dados_Cliente!$B$8*12,C310+Dados_Cliente!$B$7,C310)</f>
        <v/>
      </c>
      <c r="D311" s="17">
        <f>IF($A311&lt;=Dados_Cliente!$B$8*12,D310*(1+Dados_Cliente!$B$24)+Dados_Cliente!$B$7,D310)</f>
        <v/>
      </c>
      <c r="E311" s="17">
        <f>IF($A311&lt;=Dados_Cliente!$B$8*12,E310*(1+Dados_Cliente!$B$27)+Dados_Cliente!$B$7,E310)</f>
        <v/>
      </c>
      <c r="F311" s="17">
        <f>IF($A311&lt;=Dados_Cliente!$B$8*12,F310*(1+Dados_Cliente!$B$28)+Dados_Cliente!$B$7,F310)</f>
        <v/>
      </c>
    </row>
    <row r="312">
      <c r="A312">
        <f>A311+1</f>
        <v/>
      </c>
      <c r="B312">
        <f>A312/12</f>
        <v/>
      </c>
      <c r="C312" s="17">
        <f>IF($A312&lt;=Dados_Cliente!$B$8*12,C311+Dados_Cliente!$B$7,C311)</f>
        <v/>
      </c>
      <c r="D312" s="17">
        <f>IF($A312&lt;=Dados_Cliente!$B$8*12,D311*(1+Dados_Cliente!$B$24)+Dados_Cliente!$B$7,D311)</f>
        <v/>
      </c>
      <c r="E312" s="17">
        <f>IF($A312&lt;=Dados_Cliente!$B$8*12,E311*(1+Dados_Cliente!$B$27)+Dados_Cliente!$B$7,E311)</f>
        <v/>
      </c>
      <c r="F312" s="17">
        <f>IF($A312&lt;=Dados_Cliente!$B$8*12,F311*(1+Dados_Cliente!$B$28)+Dados_Cliente!$B$7,F311)</f>
        <v/>
      </c>
    </row>
    <row r="313">
      <c r="A313">
        <f>A312+1</f>
        <v/>
      </c>
      <c r="B313">
        <f>A313/12</f>
        <v/>
      </c>
      <c r="C313" s="17">
        <f>IF($A313&lt;=Dados_Cliente!$B$8*12,C312+Dados_Cliente!$B$7,C312)</f>
        <v/>
      </c>
      <c r="D313" s="17">
        <f>IF($A313&lt;=Dados_Cliente!$B$8*12,D312*(1+Dados_Cliente!$B$24)+Dados_Cliente!$B$7,D312)</f>
        <v/>
      </c>
      <c r="E313" s="17">
        <f>IF($A313&lt;=Dados_Cliente!$B$8*12,E312*(1+Dados_Cliente!$B$27)+Dados_Cliente!$B$7,E312)</f>
        <v/>
      </c>
      <c r="F313" s="17">
        <f>IF($A313&lt;=Dados_Cliente!$B$8*12,F312*(1+Dados_Cliente!$B$28)+Dados_Cliente!$B$7,F312)</f>
        <v/>
      </c>
    </row>
    <row r="314">
      <c r="A314">
        <f>A313+1</f>
        <v/>
      </c>
      <c r="B314">
        <f>A314/12</f>
        <v/>
      </c>
      <c r="C314" s="17">
        <f>IF($A314&lt;=Dados_Cliente!$B$8*12,C313+Dados_Cliente!$B$7,C313)</f>
        <v/>
      </c>
      <c r="D314" s="17">
        <f>IF($A314&lt;=Dados_Cliente!$B$8*12,D313*(1+Dados_Cliente!$B$24)+Dados_Cliente!$B$7,D313)</f>
        <v/>
      </c>
      <c r="E314" s="17">
        <f>IF($A314&lt;=Dados_Cliente!$B$8*12,E313*(1+Dados_Cliente!$B$27)+Dados_Cliente!$B$7,E313)</f>
        <v/>
      </c>
      <c r="F314" s="17">
        <f>IF($A314&lt;=Dados_Cliente!$B$8*12,F313*(1+Dados_Cliente!$B$28)+Dados_Cliente!$B$7,F313)</f>
        <v/>
      </c>
    </row>
    <row r="315">
      <c r="A315">
        <f>A314+1</f>
        <v/>
      </c>
      <c r="B315">
        <f>A315/12</f>
        <v/>
      </c>
      <c r="C315" s="17">
        <f>IF($A315&lt;=Dados_Cliente!$B$8*12,C314+Dados_Cliente!$B$7,C314)</f>
        <v/>
      </c>
      <c r="D315" s="17">
        <f>IF($A315&lt;=Dados_Cliente!$B$8*12,D314*(1+Dados_Cliente!$B$24)+Dados_Cliente!$B$7,D314)</f>
        <v/>
      </c>
      <c r="E315" s="17">
        <f>IF($A315&lt;=Dados_Cliente!$B$8*12,E314*(1+Dados_Cliente!$B$27)+Dados_Cliente!$B$7,E314)</f>
        <v/>
      </c>
      <c r="F315" s="17">
        <f>IF($A315&lt;=Dados_Cliente!$B$8*12,F314*(1+Dados_Cliente!$B$28)+Dados_Cliente!$B$7,F314)</f>
        <v/>
      </c>
    </row>
    <row r="316">
      <c r="A316">
        <f>A315+1</f>
        <v/>
      </c>
      <c r="B316">
        <f>A316/12</f>
        <v/>
      </c>
      <c r="C316" s="17">
        <f>IF($A316&lt;=Dados_Cliente!$B$8*12,C315+Dados_Cliente!$B$7,C315)</f>
        <v/>
      </c>
      <c r="D316" s="17">
        <f>IF($A316&lt;=Dados_Cliente!$B$8*12,D315*(1+Dados_Cliente!$B$24)+Dados_Cliente!$B$7,D315)</f>
        <v/>
      </c>
      <c r="E316" s="17">
        <f>IF($A316&lt;=Dados_Cliente!$B$8*12,E315*(1+Dados_Cliente!$B$27)+Dados_Cliente!$B$7,E315)</f>
        <v/>
      </c>
      <c r="F316" s="17">
        <f>IF($A316&lt;=Dados_Cliente!$B$8*12,F315*(1+Dados_Cliente!$B$28)+Dados_Cliente!$B$7,F315)</f>
        <v/>
      </c>
    </row>
    <row r="317">
      <c r="A317">
        <f>A316+1</f>
        <v/>
      </c>
      <c r="B317">
        <f>A317/12</f>
        <v/>
      </c>
      <c r="C317" s="17">
        <f>IF($A317&lt;=Dados_Cliente!$B$8*12,C316+Dados_Cliente!$B$7,C316)</f>
        <v/>
      </c>
      <c r="D317" s="17">
        <f>IF($A317&lt;=Dados_Cliente!$B$8*12,D316*(1+Dados_Cliente!$B$24)+Dados_Cliente!$B$7,D316)</f>
        <v/>
      </c>
      <c r="E317" s="17">
        <f>IF($A317&lt;=Dados_Cliente!$B$8*12,E316*(1+Dados_Cliente!$B$27)+Dados_Cliente!$B$7,E316)</f>
        <v/>
      </c>
      <c r="F317" s="17">
        <f>IF($A317&lt;=Dados_Cliente!$B$8*12,F316*(1+Dados_Cliente!$B$28)+Dados_Cliente!$B$7,F316)</f>
        <v/>
      </c>
    </row>
    <row r="318">
      <c r="A318">
        <f>A317+1</f>
        <v/>
      </c>
      <c r="B318">
        <f>A318/12</f>
        <v/>
      </c>
      <c r="C318" s="17">
        <f>IF($A318&lt;=Dados_Cliente!$B$8*12,C317+Dados_Cliente!$B$7,C317)</f>
        <v/>
      </c>
      <c r="D318" s="17">
        <f>IF($A318&lt;=Dados_Cliente!$B$8*12,D317*(1+Dados_Cliente!$B$24)+Dados_Cliente!$B$7,D317)</f>
        <v/>
      </c>
      <c r="E318" s="17">
        <f>IF($A318&lt;=Dados_Cliente!$B$8*12,E317*(1+Dados_Cliente!$B$27)+Dados_Cliente!$B$7,E317)</f>
        <v/>
      </c>
      <c r="F318" s="17">
        <f>IF($A318&lt;=Dados_Cliente!$B$8*12,F317*(1+Dados_Cliente!$B$28)+Dados_Cliente!$B$7,F317)</f>
        <v/>
      </c>
    </row>
    <row r="319">
      <c r="A319">
        <f>A318+1</f>
        <v/>
      </c>
      <c r="B319">
        <f>A319/12</f>
        <v/>
      </c>
      <c r="C319" s="17">
        <f>IF($A319&lt;=Dados_Cliente!$B$8*12,C318+Dados_Cliente!$B$7,C318)</f>
        <v/>
      </c>
      <c r="D319" s="17">
        <f>IF($A319&lt;=Dados_Cliente!$B$8*12,D318*(1+Dados_Cliente!$B$24)+Dados_Cliente!$B$7,D318)</f>
        <v/>
      </c>
      <c r="E319" s="17">
        <f>IF($A319&lt;=Dados_Cliente!$B$8*12,E318*(1+Dados_Cliente!$B$27)+Dados_Cliente!$B$7,E318)</f>
        <v/>
      </c>
      <c r="F319" s="17">
        <f>IF($A319&lt;=Dados_Cliente!$B$8*12,F318*(1+Dados_Cliente!$B$28)+Dados_Cliente!$B$7,F318)</f>
        <v/>
      </c>
    </row>
    <row r="320">
      <c r="A320">
        <f>A319+1</f>
        <v/>
      </c>
      <c r="B320">
        <f>A320/12</f>
        <v/>
      </c>
      <c r="C320" s="17">
        <f>IF($A320&lt;=Dados_Cliente!$B$8*12,C319+Dados_Cliente!$B$7,C319)</f>
        <v/>
      </c>
      <c r="D320" s="17">
        <f>IF($A320&lt;=Dados_Cliente!$B$8*12,D319*(1+Dados_Cliente!$B$24)+Dados_Cliente!$B$7,D319)</f>
        <v/>
      </c>
      <c r="E320" s="17">
        <f>IF($A320&lt;=Dados_Cliente!$B$8*12,E319*(1+Dados_Cliente!$B$27)+Dados_Cliente!$B$7,E319)</f>
        <v/>
      </c>
      <c r="F320" s="17">
        <f>IF($A320&lt;=Dados_Cliente!$B$8*12,F319*(1+Dados_Cliente!$B$28)+Dados_Cliente!$B$7,F319)</f>
        <v/>
      </c>
    </row>
    <row r="321">
      <c r="A321">
        <f>A320+1</f>
        <v/>
      </c>
      <c r="B321">
        <f>A321/12</f>
        <v/>
      </c>
      <c r="C321" s="17">
        <f>IF($A321&lt;=Dados_Cliente!$B$8*12,C320+Dados_Cliente!$B$7,C320)</f>
        <v/>
      </c>
      <c r="D321" s="17">
        <f>IF($A321&lt;=Dados_Cliente!$B$8*12,D320*(1+Dados_Cliente!$B$24)+Dados_Cliente!$B$7,D320)</f>
        <v/>
      </c>
      <c r="E321" s="17">
        <f>IF($A321&lt;=Dados_Cliente!$B$8*12,E320*(1+Dados_Cliente!$B$27)+Dados_Cliente!$B$7,E320)</f>
        <v/>
      </c>
      <c r="F321" s="17">
        <f>IF($A321&lt;=Dados_Cliente!$B$8*12,F320*(1+Dados_Cliente!$B$28)+Dados_Cliente!$B$7,F320)</f>
        <v/>
      </c>
    </row>
    <row r="322">
      <c r="A322">
        <f>A321+1</f>
        <v/>
      </c>
      <c r="B322">
        <f>A322/12</f>
        <v/>
      </c>
      <c r="C322" s="17">
        <f>IF($A322&lt;=Dados_Cliente!$B$8*12,C321+Dados_Cliente!$B$7,C321)</f>
        <v/>
      </c>
      <c r="D322" s="17">
        <f>IF($A322&lt;=Dados_Cliente!$B$8*12,D321*(1+Dados_Cliente!$B$24)+Dados_Cliente!$B$7,D321)</f>
        <v/>
      </c>
      <c r="E322" s="17">
        <f>IF($A322&lt;=Dados_Cliente!$B$8*12,E321*(1+Dados_Cliente!$B$27)+Dados_Cliente!$B$7,E321)</f>
        <v/>
      </c>
      <c r="F322" s="17">
        <f>IF($A322&lt;=Dados_Cliente!$B$8*12,F321*(1+Dados_Cliente!$B$28)+Dados_Cliente!$B$7,F321)</f>
        <v/>
      </c>
    </row>
    <row r="323">
      <c r="A323">
        <f>A322+1</f>
        <v/>
      </c>
      <c r="B323">
        <f>A323/12</f>
        <v/>
      </c>
      <c r="C323" s="17">
        <f>IF($A323&lt;=Dados_Cliente!$B$8*12,C322+Dados_Cliente!$B$7,C322)</f>
        <v/>
      </c>
      <c r="D323" s="17">
        <f>IF($A323&lt;=Dados_Cliente!$B$8*12,D322*(1+Dados_Cliente!$B$24)+Dados_Cliente!$B$7,D322)</f>
        <v/>
      </c>
      <c r="E323" s="17">
        <f>IF($A323&lt;=Dados_Cliente!$B$8*12,E322*(1+Dados_Cliente!$B$27)+Dados_Cliente!$B$7,E322)</f>
        <v/>
      </c>
      <c r="F323" s="17">
        <f>IF($A323&lt;=Dados_Cliente!$B$8*12,F322*(1+Dados_Cliente!$B$28)+Dados_Cliente!$B$7,F322)</f>
        <v/>
      </c>
    </row>
    <row r="324">
      <c r="A324">
        <f>A323+1</f>
        <v/>
      </c>
      <c r="B324">
        <f>A324/12</f>
        <v/>
      </c>
      <c r="C324" s="17">
        <f>IF($A324&lt;=Dados_Cliente!$B$8*12,C323+Dados_Cliente!$B$7,C323)</f>
        <v/>
      </c>
      <c r="D324" s="17">
        <f>IF($A324&lt;=Dados_Cliente!$B$8*12,D323*(1+Dados_Cliente!$B$24)+Dados_Cliente!$B$7,D323)</f>
        <v/>
      </c>
      <c r="E324" s="17">
        <f>IF($A324&lt;=Dados_Cliente!$B$8*12,E323*(1+Dados_Cliente!$B$27)+Dados_Cliente!$B$7,E323)</f>
        <v/>
      </c>
      <c r="F324" s="17">
        <f>IF($A324&lt;=Dados_Cliente!$B$8*12,F323*(1+Dados_Cliente!$B$28)+Dados_Cliente!$B$7,F323)</f>
        <v/>
      </c>
    </row>
    <row r="325">
      <c r="A325">
        <f>A324+1</f>
        <v/>
      </c>
      <c r="B325">
        <f>A325/12</f>
        <v/>
      </c>
      <c r="C325" s="17">
        <f>IF($A325&lt;=Dados_Cliente!$B$8*12,C324+Dados_Cliente!$B$7,C324)</f>
        <v/>
      </c>
      <c r="D325" s="17">
        <f>IF($A325&lt;=Dados_Cliente!$B$8*12,D324*(1+Dados_Cliente!$B$24)+Dados_Cliente!$B$7,D324)</f>
        <v/>
      </c>
      <c r="E325" s="17">
        <f>IF($A325&lt;=Dados_Cliente!$B$8*12,E324*(1+Dados_Cliente!$B$27)+Dados_Cliente!$B$7,E324)</f>
        <v/>
      </c>
      <c r="F325" s="17">
        <f>IF($A325&lt;=Dados_Cliente!$B$8*12,F324*(1+Dados_Cliente!$B$28)+Dados_Cliente!$B$7,F324)</f>
        <v/>
      </c>
    </row>
    <row r="326">
      <c r="A326">
        <f>A325+1</f>
        <v/>
      </c>
      <c r="B326">
        <f>A326/12</f>
        <v/>
      </c>
      <c r="C326" s="17">
        <f>IF($A326&lt;=Dados_Cliente!$B$8*12,C325+Dados_Cliente!$B$7,C325)</f>
        <v/>
      </c>
      <c r="D326" s="17">
        <f>IF($A326&lt;=Dados_Cliente!$B$8*12,D325*(1+Dados_Cliente!$B$24)+Dados_Cliente!$B$7,D325)</f>
        <v/>
      </c>
      <c r="E326" s="17">
        <f>IF($A326&lt;=Dados_Cliente!$B$8*12,E325*(1+Dados_Cliente!$B$27)+Dados_Cliente!$B$7,E325)</f>
        <v/>
      </c>
      <c r="F326" s="17">
        <f>IF($A326&lt;=Dados_Cliente!$B$8*12,F325*(1+Dados_Cliente!$B$28)+Dados_Cliente!$B$7,F325)</f>
        <v/>
      </c>
    </row>
    <row r="327">
      <c r="A327">
        <f>A326+1</f>
        <v/>
      </c>
      <c r="B327">
        <f>A327/12</f>
        <v/>
      </c>
      <c r="C327" s="17">
        <f>IF($A327&lt;=Dados_Cliente!$B$8*12,C326+Dados_Cliente!$B$7,C326)</f>
        <v/>
      </c>
      <c r="D327" s="17">
        <f>IF($A327&lt;=Dados_Cliente!$B$8*12,D326*(1+Dados_Cliente!$B$24)+Dados_Cliente!$B$7,D326)</f>
        <v/>
      </c>
      <c r="E327" s="17">
        <f>IF($A327&lt;=Dados_Cliente!$B$8*12,E326*(1+Dados_Cliente!$B$27)+Dados_Cliente!$B$7,E326)</f>
        <v/>
      </c>
      <c r="F327" s="17">
        <f>IF($A327&lt;=Dados_Cliente!$B$8*12,F326*(1+Dados_Cliente!$B$28)+Dados_Cliente!$B$7,F326)</f>
        <v/>
      </c>
    </row>
    <row r="328">
      <c r="A328">
        <f>A327+1</f>
        <v/>
      </c>
      <c r="B328">
        <f>A328/12</f>
        <v/>
      </c>
      <c r="C328" s="17">
        <f>IF($A328&lt;=Dados_Cliente!$B$8*12,C327+Dados_Cliente!$B$7,C327)</f>
        <v/>
      </c>
      <c r="D328" s="17">
        <f>IF($A328&lt;=Dados_Cliente!$B$8*12,D327*(1+Dados_Cliente!$B$24)+Dados_Cliente!$B$7,D327)</f>
        <v/>
      </c>
      <c r="E328" s="17">
        <f>IF($A328&lt;=Dados_Cliente!$B$8*12,E327*(1+Dados_Cliente!$B$27)+Dados_Cliente!$B$7,E327)</f>
        <v/>
      </c>
      <c r="F328" s="17">
        <f>IF($A328&lt;=Dados_Cliente!$B$8*12,F327*(1+Dados_Cliente!$B$28)+Dados_Cliente!$B$7,F327)</f>
        <v/>
      </c>
    </row>
    <row r="329">
      <c r="A329">
        <f>A328+1</f>
        <v/>
      </c>
      <c r="B329">
        <f>A329/12</f>
        <v/>
      </c>
      <c r="C329" s="17">
        <f>IF($A329&lt;=Dados_Cliente!$B$8*12,C328+Dados_Cliente!$B$7,C328)</f>
        <v/>
      </c>
      <c r="D329" s="17">
        <f>IF($A329&lt;=Dados_Cliente!$B$8*12,D328*(1+Dados_Cliente!$B$24)+Dados_Cliente!$B$7,D328)</f>
        <v/>
      </c>
      <c r="E329" s="17">
        <f>IF($A329&lt;=Dados_Cliente!$B$8*12,E328*(1+Dados_Cliente!$B$27)+Dados_Cliente!$B$7,E328)</f>
        <v/>
      </c>
      <c r="F329" s="17">
        <f>IF($A329&lt;=Dados_Cliente!$B$8*12,F328*(1+Dados_Cliente!$B$28)+Dados_Cliente!$B$7,F328)</f>
        <v/>
      </c>
    </row>
    <row r="330">
      <c r="A330">
        <f>A329+1</f>
        <v/>
      </c>
      <c r="B330">
        <f>A330/12</f>
        <v/>
      </c>
      <c r="C330" s="17">
        <f>IF($A330&lt;=Dados_Cliente!$B$8*12,C329+Dados_Cliente!$B$7,C329)</f>
        <v/>
      </c>
      <c r="D330" s="17">
        <f>IF($A330&lt;=Dados_Cliente!$B$8*12,D329*(1+Dados_Cliente!$B$24)+Dados_Cliente!$B$7,D329)</f>
        <v/>
      </c>
      <c r="E330" s="17">
        <f>IF($A330&lt;=Dados_Cliente!$B$8*12,E329*(1+Dados_Cliente!$B$27)+Dados_Cliente!$B$7,E329)</f>
        <v/>
      </c>
      <c r="F330" s="17">
        <f>IF($A330&lt;=Dados_Cliente!$B$8*12,F329*(1+Dados_Cliente!$B$28)+Dados_Cliente!$B$7,F329)</f>
        <v/>
      </c>
    </row>
    <row r="331">
      <c r="A331">
        <f>A330+1</f>
        <v/>
      </c>
      <c r="B331">
        <f>A331/12</f>
        <v/>
      </c>
      <c r="C331" s="17">
        <f>IF($A331&lt;=Dados_Cliente!$B$8*12,C330+Dados_Cliente!$B$7,C330)</f>
        <v/>
      </c>
      <c r="D331" s="17">
        <f>IF($A331&lt;=Dados_Cliente!$B$8*12,D330*(1+Dados_Cliente!$B$24)+Dados_Cliente!$B$7,D330)</f>
        <v/>
      </c>
      <c r="E331" s="17">
        <f>IF($A331&lt;=Dados_Cliente!$B$8*12,E330*(1+Dados_Cliente!$B$27)+Dados_Cliente!$B$7,E330)</f>
        <v/>
      </c>
      <c r="F331" s="17">
        <f>IF($A331&lt;=Dados_Cliente!$B$8*12,F330*(1+Dados_Cliente!$B$28)+Dados_Cliente!$B$7,F330)</f>
        <v/>
      </c>
    </row>
    <row r="332">
      <c r="A332">
        <f>A331+1</f>
        <v/>
      </c>
      <c r="B332">
        <f>A332/12</f>
        <v/>
      </c>
      <c r="C332" s="17">
        <f>IF($A332&lt;=Dados_Cliente!$B$8*12,C331+Dados_Cliente!$B$7,C331)</f>
        <v/>
      </c>
      <c r="D332" s="17">
        <f>IF($A332&lt;=Dados_Cliente!$B$8*12,D331*(1+Dados_Cliente!$B$24)+Dados_Cliente!$B$7,D331)</f>
        <v/>
      </c>
      <c r="E332" s="17">
        <f>IF($A332&lt;=Dados_Cliente!$B$8*12,E331*(1+Dados_Cliente!$B$27)+Dados_Cliente!$B$7,E331)</f>
        <v/>
      </c>
      <c r="F332" s="17">
        <f>IF($A332&lt;=Dados_Cliente!$B$8*12,F331*(1+Dados_Cliente!$B$28)+Dados_Cliente!$B$7,F331)</f>
        <v/>
      </c>
    </row>
    <row r="333">
      <c r="A333">
        <f>A332+1</f>
        <v/>
      </c>
      <c r="B333">
        <f>A333/12</f>
        <v/>
      </c>
      <c r="C333" s="17">
        <f>IF($A333&lt;=Dados_Cliente!$B$8*12,C332+Dados_Cliente!$B$7,C332)</f>
        <v/>
      </c>
      <c r="D333" s="17">
        <f>IF($A333&lt;=Dados_Cliente!$B$8*12,D332*(1+Dados_Cliente!$B$24)+Dados_Cliente!$B$7,D332)</f>
        <v/>
      </c>
      <c r="E333" s="17">
        <f>IF($A333&lt;=Dados_Cliente!$B$8*12,E332*(1+Dados_Cliente!$B$27)+Dados_Cliente!$B$7,E332)</f>
        <v/>
      </c>
      <c r="F333" s="17">
        <f>IF($A333&lt;=Dados_Cliente!$B$8*12,F332*(1+Dados_Cliente!$B$28)+Dados_Cliente!$B$7,F332)</f>
        <v/>
      </c>
    </row>
    <row r="334">
      <c r="A334">
        <f>A333+1</f>
        <v/>
      </c>
      <c r="B334">
        <f>A334/12</f>
        <v/>
      </c>
      <c r="C334" s="17">
        <f>IF($A334&lt;=Dados_Cliente!$B$8*12,C333+Dados_Cliente!$B$7,C333)</f>
        <v/>
      </c>
      <c r="D334" s="17">
        <f>IF($A334&lt;=Dados_Cliente!$B$8*12,D333*(1+Dados_Cliente!$B$24)+Dados_Cliente!$B$7,D333)</f>
        <v/>
      </c>
      <c r="E334" s="17">
        <f>IF($A334&lt;=Dados_Cliente!$B$8*12,E333*(1+Dados_Cliente!$B$27)+Dados_Cliente!$B$7,E333)</f>
        <v/>
      </c>
      <c r="F334" s="17">
        <f>IF($A334&lt;=Dados_Cliente!$B$8*12,F333*(1+Dados_Cliente!$B$28)+Dados_Cliente!$B$7,F333)</f>
        <v/>
      </c>
    </row>
    <row r="335">
      <c r="A335">
        <f>A334+1</f>
        <v/>
      </c>
      <c r="B335">
        <f>A335/12</f>
        <v/>
      </c>
      <c r="C335" s="17">
        <f>IF($A335&lt;=Dados_Cliente!$B$8*12,C334+Dados_Cliente!$B$7,C334)</f>
        <v/>
      </c>
      <c r="D335" s="17">
        <f>IF($A335&lt;=Dados_Cliente!$B$8*12,D334*(1+Dados_Cliente!$B$24)+Dados_Cliente!$B$7,D334)</f>
        <v/>
      </c>
      <c r="E335" s="17">
        <f>IF($A335&lt;=Dados_Cliente!$B$8*12,E334*(1+Dados_Cliente!$B$27)+Dados_Cliente!$B$7,E334)</f>
        <v/>
      </c>
      <c r="F335" s="17">
        <f>IF($A335&lt;=Dados_Cliente!$B$8*12,F334*(1+Dados_Cliente!$B$28)+Dados_Cliente!$B$7,F334)</f>
        <v/>
      </c>
    </row>
    <row r="336">
      <c r="A336">
        <f>A335+1</f>
        <v/>
      </c>
      <c r="B336">
        <f>A336/12</f>
        <v/>
      </c>
      <c r="C336" s="17">
        <f>IF($A336&lt;=Dados_Cliente!$B$8*12,C335+Dados_Cliente!$B$7,C335)</f>
        <v/>
      </c>
      <c r="D336" s="17">
        <f>IF($A336&lt;=Dados_Cliente!$B$8*12,D335*(1+Dados_Cliente!$B$24)+Dados_Cliente!$B$7,D335)</f>
        <v/>
      </c>
      <c r="E336" s="17">
        <f>IF($A336&lt;=Dados_Cliente!$B$8*12,E335*(1+Dados_Cliente!$B$27)+Dados_Cliente!$B$7,E335)</f>
        <v/>
      </c>
      <c r="F336" s="17">
        <f>IF($A336&lt;=Dados_Cliente!$B$8*12,F335*(1+Dados_Cliente!$B$28)+Dados_Cliente!$B$7,F335)</f>
        <v/>
      </c>
    </row>
    <row r="337">
      <c r="A337">
        <f>A336+1</f>
        <v/>
      </c>
      <c r="B337">
        <f>A337/12</f>
        <v/>
      </c>
      <c r="C337" s="17">
        <f>IF($A337&lt;=Dados_Cliente!$B$8*12,C336+Dados_Cliente!$B$7,C336)</f>
        <v/>
      </c>
      <c r="D337" s="17">
        <f>IF($A337&lt;=Dados_Cliente!$B$8*12,D336*(1+Dados_Cliente!$B$24)+Dados_Cliente!$B$7,D336)</f>
        <v/>
      </c>
      <c r="E337" s="17">
        <f>IF($A337&lt;=Dados_Cliente!$B$8*12,E336*(1+Dados_Cliente!$B$27)+Dados_Cliente!$B$7,E336)</f>
        <v/>
      </c>
      <c r="F337" s="17">
        <f>IF($A337&lt;=Dados_Cliente!$B$8*12,F336*(1+Dados_Cliente!$B$28)+Dados_Cliente!$B$7,F336)</f>
        <v/>
      </c>
    </row>
    <row r="338">
      <c r="A338">
        <f>A337+1</f>
        <v/>
      </c>
      <c r="B338">
        <f>A338/12</f>
        <v/>
      </c>
      <c r="C338" s="17">
        <f>IF($A338&lt;=Dados_Cliente!$B$8*12,C337+Dados_Cliente!$B$7,C337)</f>
        <v/>
      </c>
      <c r="D338" s="17">
        <f>IF($A338&lt;=Dados_Cliente!$B$8*12,D337*(1+Dados_Cliente!$B$24)+Dados_Cliente!$B$7,D337)</f>
        <v/>
      </c>
      <c r="E338" s="17">
        <f>IF($A338&lt;=Dados_Cliente!$B$8*12,E337*(1+Dados_Cliente!$B$27)+Dados_Cliente!$B$7,E337)</f>
        <v/>
      </c>
      <c r="F338" s="17">
        <f>IF($A338&lt;=Dados_Cliente!$B$8*12,F337*(1+Dados_Cliente!$B$28)+Dados_Cliente!$B$7,F337)</f>
        <v/>
      </c>
    </row>
    <row r="339">
      <c r="A339">
        <f>A338+1</f>
        <v/>
      </c>
      <c r="B339">
        <f>A339/12</f>
        <v/>
      </c>
      <c r="C339" s="17">
        <f>IF($A339&lt;=Dados_Cliente!$B$8*12,C338+Dados_Cliente!$B$7,C338)</f>
        <v/>
      </c>
      <c r="D339" s="17">
        <f>IF($A339&lt;=Dados_Cliente!$B$8*12,D338*(1+Dados_Cliente!$B$24)+Dados_Cliente!$B$7,D338)</f>
        <v/>
      </c>
      <c r="E339" s="17">
        <f>IF($A339&lt;=Dados_Cliente!$B$8*12,E338*(1+Dados_Cliente!$B$27)+Dados_Cliente!$B$7,E338)</f>
        <v/>
      </c>
      <c r="F339" s="17">
        <f>IF($A339&lt;=Dados_Cliente!$B$8*12,F338*(1+Dados_Cliente!$B$28)+Dados_Cliente!$B$7,F338)</f>
        <v/>
      </c>
    </row>
    <row r="340">
      <c r="A340">
        <f>A339+1</f>
        <v/>
      </c>
      <c r="B340">
        <f>A340/12</f>
        <v/>
      </c>
      <c r="C340" s="17">
        <f>IF($A340&lt;=Dados_Cliente!$B$8*12,C339+Dados_Cliente!$B$7,C339)</f>
        <v/>
      </c>
      <c r="D340" s="17">
        <f>IF($A340&lt;=Dados_Cliente!$B$8*12,D339*(1+Dados_Cliente!$B$24)+Dados_Cliente!$B$7,D339)</f>
        <v/>
      </c>
      <c r="E340" s="17">
        <f>IF($A340&lt;=Dados_Cliente!$B$8*12,E339*(1+Dados_Cliente!$B$27)+Dados_Cliente!$B$7,E339)</f>
        <v/>
      </c>
      <c r="F340" s="17">
        <f>IF($A340&lt;=Dados_Cliente!$B$8*12,F339*(1+Dados_Cliente!$B$28)+Dados_Cliente!$B$7,F339)</f>
        <v/>
      </c>
    </row>
    <row r="341">
      <c r="A341">
        <f>A340+1</f>
        <v/>
      </c>
      <c r="B341">
        <f>A341/12</f>
        <v/>
      </c>
      <c r="C341" s="17">
        <f>IF($A341&lt;=Dados_Cliente!$B$8*12,C340+Dados_Cliente!$B$7,C340)</f>
        <v/>
      </c>
      <c r="D341" s="17">
        <f>IF($A341&lt;=Dados_Cliente!$B$8*12,D340*(1+Dados_Cliente!$B$24)+Dados_Cliente!$B$7,D340)</f>
        <v/>
      </c>
      <c r="E341" s="17">
        <f>IF($A341&lt;=Dados_Cliente!$B$8*12,E340*(1+Dados_Cliente!$B$27)+Dados_Cliente!$B$7,E340)</f>
        <v/>
      </c>
      <c r="F341" s="17">
        <f>IF($A341&lt;=Dados_Cliente!$B$8*12,F340*(1+Dados_Cliente!$B$28)+Dados_Cliente!$B$7,F340)</f>
        <v/>
      </c>
    </row>
    <row r="342">
      <c r="A342">
        <f>A341+1</f>
        <v/>
      </c>
      <c r="B342">
        <f>A342/12</f>
        <v/>
      </c>
      <c r="C342" s="17">
        <f>IF($A342&lt;=Dados_Cliente!$B$8*12,C341+Dados_Cliente!$B$7,C341)</f>
        <v/>
      </c>
      <c r="D342" s="17">
        <f>IF($A342&lt;=Dados_Cliente!$B$8*12,D341*(1+Dados_Cliente!$B$24)+Dados_Cliente!$B$7,D341)</f>
        <v/>
      </c>
      <c r="E342" s="17">
        <f>IF($A342&lt;=Dados_Cliente!$B$8*12,E341*(1+Dados_Cliente!$B$27)+Dados_Cliente!$B$7,E341)</f>
        <v/>
      </c>
      <c r="F342" s="17">
        <f>IF($A342&lt;=Dados_Cliente!$B$8*12,F341*(1+Dados_Cliente!$B$28)+Dados_Cliente!$B$7,F341)</f>
        <v/>
      </c>
    </row>
    <row r="343">
      <c r="A343">
        <f>A342+1</f>
        <v/>
      </c>
      <c r="B343">
        <f>A343/12</f>
        <v/>
      </c>
      <c r="C343" s="17">
        <f>IF($A343&lt;=Dados_Cliente!$B$8*12,C342+Dados_Cliente!$B$7,C342)</f>
        <v/>
      </c>
      <c r="D343" s="17">
        <f>IF($A343&lt;=Dados_Cliente!$B$8*12,D342*(1+Dados_Cliente!$B$24)+Dados_Cliente!$B$7,D342)</f>
        <v/>
      </c>
      <c r="E343" s="17">
        <f>IF($A343&lt;=Dados_Cliente!$B$8*12,E342*(1+Dados_Cliente!$B$27)+Dados_Cliente!$B$7,E342)</f>
        <v/>
      </c>
      <c r="F343" s="17">
        <f>IF($A343&lt;=Dados_Cliente!$B$8*12,F342*(1+Dados_Cliente!$B$28)+Dados_Cliente!$B$7,F342)</f>
        <v/>
      </c>
    </row>
    <row r="344">
      <c r="A344">
        <f>A343+1</f>
        <v/>
      </c>
      <c r="B344">
        <f>A344/12</f>
        <v/>
      </c>
      <c r="C344" s="17">
        <f>IF($A344&lt;=Dados_Cliente!$B$8*12,C343+Dados_Cliente!$B$7,C343)</f>
        <v/>
      </c>
      <c r="D344" s="17">
        <f>IF($A344&lt;=Dados_Cliente!$B$8*12,D343*(1+Dados_Cliente!$B$24)+Dados_Cliente!$B$7,D343)</f>
        <v/>
      </c>
      <c r="E344" s="17">
        <f>IF($A344&lt;=Dados_Cliente!$B$8*12,E343*(1+Dados_Cliente!$B$27)+Dados_Cliente!$B$7,E343)</f>
        <v/>
      </c>
      <c r="F344" s="17">
        <f>IF($A344&lt;=Dados_Cliente!$B$8*12,F343*(1+Dados_Cliente!$B$28)+Dados_Cliente!$B$7,F343)</f>
        <v/>
      </c>
    </row>
    <row r="345">
      <c r="A345">
        <f>A344+1</f>
        <v/>
      </c>
      <c r="B345">
        <f>A345/12</f>
        <v/>
      </c>
      <c r="C345" s="17">
        <f>IF($A345&lt;=Dados_Cliente!$B$8*12,C344+Dados_Cliente!$B$7,C344)</f>
        <v/>
      </c>
      <c r="D345" s="17">
        <f>IF($A345&lt;=Dados_Cliente!$B$8*12,D344*(1+Dados_Cliente!$B$24)+Dados_Cliente!$B$7,D344)</f>
        <v/>
      </c>
      <c r="E345" s="17">
        <f>IF($A345&lt;=Dados_Cliente!$B$8*12,E344*(1+Dados_Cliente!$B$27)+Dados_Cliente!$B$7,E344)</f>
        <v/>
      </c>
      <c r="F345" s="17">
        <f>IF($A345&lt;=Dados_Cliente!$B$8*12,F344*(1+Dados_Cliente!$B$28)+Dados_Cliente!$B$7,F344)</f>
        <v/>
      </c>
    </row>
    <row r="346">
      <c r="A346">
        <f>A345+1</f>
        <v/>
      </c>
      <c r="B346">
        <f>A346/12</f>
        <v/>
      </c>
      <c r="C346" s="17">
        <f>IF($A346&lt;=Dados_Cliente!$B$8*12,C345+Dados_Cliente!$B$7,C345)</f>
        <v/>
      </c>
      <c r="D346" s="17">
        <f>IF($A346&lt;=Dados_Cliente!$B$8*12,D345*(1+Dados_Cliente!$B$24)+Dados_Cliente!$B$7,D345)</f>
        <v/>
      </c>
      <c r="E346" s="17">
        <f>IF($A346&lt;=Dados_Cliente!$B$8*12,E345*(1+Dados_Cliente!$B$27)+Dados_Cliente!$B$7,E345)</f>
        <v/>
      </c>
      <c r="F346" s="17">
        <f>IF($A346&lt;=Dados_Cliente!$B$8*12,F345*(1+Dados_Cliente!$B$28)+Dados_Cliente!$B$7,F345)</f>
        <v/>
      </c>
    </row>
    <row r="347">
      <c r="A347">
        <f>A346+1</f>
        <v/>
      </c>
      <c r="B347">
        <f>A347/12</f>
        <v/>
      </c>
      <c r="C347" s="17">
        <f>IF($A347&lt;=Dados_Cliente!$B$8*12,C346+Dados_Cliente!$B$7,C346)</f>
        <v/>
      </c>
      <c r="D347" s="17">
        <f>IF($A347&lt;=Dados_Cliente!$B$8*12,D346*(1+Dados_Cliente!$B$24)+Dados_Cliente!$B$7,D346)</f>
        <v/>
      </c>
      <c r="E347" s="17">
        <f>IF($A347&lt;=Dados_Cliente!$B$8*12,E346*(1+Dados_Cliente!$B$27)+Dados_Cliente!$B$7,E346)</f>
        <v/>
      </c>
      <c r="F347" s="17">
        <f>IF($A347&lt;=Dados_Cliente!$B$8*12,F346*(1+Dados_Cliente!$B$28)+Dados_Cliente!$B$7,F346)</f>
        <v/>
      </c>
    </row>
    <row r="348">
      <c r="A348">
        <f>A347+1</f>
        <v/>
      </c>
      <c r="B348">
        <f>A348/12</f>
        <v/>
      </c>
      <c r="C348" s="17">
        <f>IF($A348&lt;=Dados_Cliente!$B$8*12,C347+Dados_Cliente!$B$7,C347)</f>
        <v/>
      </c>
      <c r="D348" s="17">
        <f>IF($A348&lt;=Dados_Cliente!$B$8*12,D347*(1+Dados_Cliente!$B$24)+Dados_Cliente!$B$7,D347)</f>
        <v/>
      </c>
      <c r="E348" s="17">
        <f>IF($A348&lt;=Dados_Cliente!$B$8*12,E347*(1+Dados_Cliente!$B$27)+Dados_Cliente!$B$7,E347)</f>
        <v/>
      </c>
      <c r="F348" s="17">
        <f>IF($A348&lt;=Dados_Cliente!$B$8*12,F347*(1+Dados_Cliente!$B$28)+Dados_Cliente!$B$7,F347)</f>
        <v/>
      </c>
    </row>
    <row r="349">
      <c r="A349">
        <f>A348+1</f>
        <v/>
      </c>
      <c r="B349">
        <f>A349/12</f>
        <v/>
      </c>
      <c r="C349" s="17">
        <f>IF($A349&lt;=Dados_Cliente!$B$8*12,C348+Dados_Cliente!$B$7,C348)</f>
        <v/>
      </c>
      <c r="D349" s="17">
        <f>IF($A349&lt;=Dados_Cliente!$B$8*12,D348*(1+Dados_Cliente!$B$24)+Dados_Cliente!$B$7,D348)</f>
        <v/>
      </c>
      <c r="E349" s="17">
        <f>IF($A349&lt;=Dados_Cliente!$B$8*12,E348*(1+Dados_Cliente!$B$27)+Dados_Cliente!$B$7,E348)</f>
        <v/>
      </c>
      <c r="F349" s="17">
        <f>IF($A349&lt;=Dados_Cliente!$B$8*12,F348*(1+Dados_Cliente!$B$28)+Dados_Cliente!$B$7,F348)</f>
        <v/>
      </c>
    </row>
    <row r="350">
      <c r="A350">
        <f>A349+1</f>
        <v/>
      </c>
      <c r="B350">
        <f>A350/12</f>
        <v/>
      </c>
      <c r="C350" s="17">
        <f>IF($A350&lt;=Dados_Cliente!$B$8*12,C349+Dados_Cliente!$B$7,C349)</f>
        <v/>
      </c>
      <c r="D350" s="17">
        <f>IF($A350&lt;=Dados_Cliente!$B$8*12,D349*(1+Dados_Cliente!$B$24)+Dados_Cliente!$B$7,D349)</f>
        <v/>
      </c>
      <c r="E350" s="17">
        <f>IF($A350&lt;=Dados_Cliente!$B$8*12,E349*(1+Dados_Cliente!$B$27)+Dados_Cliente!$B$7,E349)</f>
        <v/>
      </c>
      <c r="F350" s="17">
        <f>IF($A350&lt;=Dados_Cliente!$B$8*12,F349*(1+Dados_Cliente!$B$28)+Dados_Cliente!$B$7,F349)</f>
        <v/>
      </c>
    </row>
    <row r="351">
      <c r="A351">
        <f>A350+1</f>
        <v/>
      </c>
      <c r="B351">
        <f>A351/12</f>
        <v/>
      </c>
      <c r="C351" s="17">
        <f>IF($A351&lt;=Dados_Cliente!$B$8*12,C350+Dados_Cliente!$B$7,C350)</f>
        <v/>
      </c>
      <c r="D351" s="17">
        <f>IF($A351&lt;=Dados_Cliente!$B$8*12,D350*(1+Dados_Cliente!$B$24)+Dados_Cliente!$B$7,D350)</f>
        <v/>
      </c>
      <c r="E351" s="17">
        <f>IF($A351&lt;=Dados_Cliente!$B$8*12,E350*(1+Dados_Cliente!$B$27)+Dados_Cliente!$B$7,E350)</f>
        <v/>
      </c>
      <c r="F351" s="17">
        <f>IF($A351&lt;=Dados_Cliente!$B$8*12,F350*(1+Dados_Cliente!$B$28)+Dados_Cliente!$B$7,F350)</f>
        <v/>
      </c>
    </row>
    <row r="352">
      <c r="A352">
        <f>A351+1</f>
        <v/>
      </c>
      <c r="B352">
        <f>A352/12</f>
        <v/>
      </c>
      <c r="C352" s="17">
        <f>IF($A352&lt;=Dados_Cliente!$B$8*12,C351+Dados_Cliente!$B$7,C351)</f>
        <v/>
      </c>
      <c r="D352" s="17">
        <f>IF($A352&lt;=Dados_Cliente!$B$8*12,D351*(1+Dados_Cliente!$B$24)+Dados_Cliente!$B$7,D351)</f>
        <v/>
      </c>
      <c r="E352" s="17">
        <f>IF($A352&lt;=Dados_Cliente!$B$8*12,E351*(1+Dados_Cliente!$B$27)+Dados_Cliente!$B$7,E351)</f>
        <v/>
      </c>
      <c r="F352" s="17">
        <f>IF($A352&lt;=Dados_Cliente!$B$8*12,F351*(1+Dados_Cliente!$B$28)+Dados_Cliente!$B$7,F351)</f>
        <v/>
      </c>
    </row>
    <row r="353">
      <c r="A353">
        <f>A352+1</f>
        <v/>
      </c>
      <c r="B353">
        <f>A353/12</f>
        <v/>
      </c>
      <c r="C353" s="17">
        <f>IF($A353&lt;=Dados_Cliente!$B$8*12,C352+Dados_Cliente!$B$7,C352)</f>
        <v/>
      </c>
      <c r="D353" s="17">
        <f>IF($A353&lt;=Dados_Cliente!$B$8*12,D352*(1+Dados_Cliente!$B$24)+Dados_Cliente!$B$7,D352)</f>
        <v/>
      </c>
      <c r="E353" s="17">
        <f>IF($A353&lt;=Dados_Cliente!$B$8*12,E352*(1+Dados_Cliente!$B$27)+Dados_Cliente!$B$7,E352)</f>
        <v/>
      </c>
      <c r="F353" s="17">
        <f>IF($A353&lt;=Dados_Cliente!$B$8*12,F352*(1+Dados_Cliente!$B$28)+Dados_Cliente!$B$7,F352)</f>
        <v/>
      </c>
    </row>
    <row r="354">
      <c r="A354">
        <f>A353+1</f>
        <v/>
      </c>
      <c r="B354">
        <f>A354/12</f>
        <v/>
      </c>
      <c r="C354" s="17">
        <f>IF($A354&lt;=Dados_Cliente!$B$8*12,C353+Dados_Cliente!$B$7,C353)</f>
        <v/>
      </c>
      <c r="D354" s="17">
        <f>IF($A354&lt;=Dados_Cliente!$B$8*12,D353*(1+Dados_Cliente!$B$24)+Dados_Cliente!$B$7,D353)</f>
        <v/>
      </c>
      <c r="E354" s="17">
        <f>IF($A354&lt;=Dados_Cliente!$B$8*12,E353*(1+Dados_Cliente!$B$27)+Dados_Cliente!$B$7,E353)</f>
        <v/>
      </c>
      <c r="F354" s="17">
        <f>IF($A354&lt;=Dados_Cliente!$B$8*12,F353*(1+Dados_Cliente!$B$28)+Dados_Cliente!$B$7,F353)</f>
        <v/>
      </c>
    </row>
    <row r="355">
      <c r="A355">
        <f>A354+1</f>
        <v/>
      </c>
      <c r="B355">
        <f>A355/12</f>
        <v/>
      </c>
      <c r="C355" s="17">
        <f>IF($A355&lt;=Dados_Cliente!$B$8*12,C354+Dados_Cliente!$B$7,C354)</f>
        <v/>
      </c>
      <c r="D355" s="17">
        <f>IF($A355&lt;=Dados_Cliente!$B$8*12,D354*(1+Dados_Cliente!$B$24)+Dados_Cliente!$B$7,D354)</f>
        <v/>
      </c>
      <c r="E355" s="17">
        <f>IF($A355&lt;=Dados_Cliente!$B$8*12,E354*(1+Dados_Cliente!$B$27)+Dados_Cliente!$B$7,E354)</f>
        <v/>
      </c>
      <c r="F355" s="17">
        <f>IF($A355&lt;=Dados_Cliente!$B$8*12,F354*(1+Dados_Cliente!$B$28)+Dados_Cliente!$B$7,F354)</f>
        <v/>
      </c>
    </row>
    <row r="356">
      <c r="A356">
        <f>A355+1</f>
        <v/>
      </c>
      <c r="B356">
        <f>A356/12</f>
        <v/>
      </c>
      <c r="C356" s="17">
        <f>IF($A356&lt;=Dados_Cliente!$B$8*12,C355+Dados_Cliente!$B$7,C355)</f>
        <v/>
      </c>
      <c r="D356" s="17">
        <f>IF($A356&lt;=Dados_Cliente!$B$8*12,D355*(1+Dados_Cliente!$B$24)+Dados_Cliente!$B$7,D355)</f>
        <v/>
      </c>
      <c r="E356" s="17">
        <f>IF($A356&lt;=Dados_Cliente!$B$8*12,E355*(1+Dados_Cliente!$B$27)+Dados_Cliente!$B$7,E355)</f>
        <v/>
      </c>
      <c r="F356" s="17">
        <f>IF($A356&lt;=Dados_Cliente!$B$8*12,F355*(1+Dados_Cliente!$B$28)+Dados_Cliente!$B$7,F355)</f>
        <v/>
      </c>
    </row>
    <row r="357">
      <c r="A357">
        <f>A356+1</f>
        <v/>
      </c>
      <c r="B357">
        <f>A357/12</f>
        <v/>
      </c>
      <c r="C357" s="17">
        <f>IF($A357&lt;=Dados_Cliente!$B$8*12,C356+Dados_Cliente!$B$7,C356)</f>
        <v/>
      </c>
      <c r="D357" s="17">
        <f>IF($A357&lt;=Dados_Cliente!$B$8*12,D356*(1+Dados_Cliente!$B$24)+Dados_Cliente!$B$7,D356)</f>
        <v/>
      </c>
      <c r="E357" s="17">
        <f>IF($A357&lt;=Dados_Cliente!$B$8*12,E356*(1+Dados_Cliente!$B$27)+Dados_Cliente!$B$7,E356)</f>
        <v/>
      </c>
      <c r="F357" s="17">
        <f>IF($A357&lt;=Dados_Cliente!$B$8*12,F356*(1+Dados_Cliente!$B$28)+Dados_Cliente!$B$7,F356)</f>
        <v/>
      </c>
    </row>
    <row r="358">
      <c r="A358">
        <f>A357+1</f>
        <v/>
      </c>
      <c r="B358">
        <f>A358/12</f>
        <v/>
      </c>
      <c r="C358" s="17">
        <f>IF($A358&lt;=Dados_Cliente!$B$8*12,C357+Dados_Cliente!$B$7,C357)</f>
        <v/>
      </c>
      <c r="D358" s="17">
        <f>IF($A358&lt;=Dados_Cliente!$B$8*12,D357*(1+Dados_Cliente!$B$24)+Dados_Cliente!$B$7,D357)</f>
        <v/>
      </c>
      <c r="E358" s="17">
        <f>IF($A358&lt;=Dados_Cliente!$B$8*12,E357*(1+Dados_Cliente!$B$27)+Dados_Cliente!$B$7,E357)</f>
        <v/>
      </c>
      <c r="F358" s="17">
        <f>IF($A358&lt;=Dados_Cliente!$B$8*12,F357*(1+Dados_Cliente!$B$28)+Dados_Cliente!$B$7,F357)</f>
        <v/>
      </c>
    </row>
    <row r="359">
      <c r="A359">
        <f>A358+1</f>
        <v/>
      </c>
      <c r="B359">
        <f>A359/12</f>
        <v/>
      </c>
      <c r="C359" s="17">
        <f>IF($A359&lt;=Dados_Cliente!$B$8*12,C358+Dados_Cliente!$B$7,C358)</f>
        <v/>
      </c>
      <c r="D359" s="17">
        <f>IF($A359&lt;=Dados_Cliente!$B$8*12,D358*(1+Dados_Cliente!$B$24)+Dados_Cliente!$B$7,D358)</f>
        <v/>
      </c>
      <c r="E359" s="17">
        <f>IF($A359&lt;=Dados_Cliente!$B$8*12,E358*(1+Dados_Cliente!$B$27)+Dados_Cliente!$B$7,E358)</f>
        <v/>
      </c>
      <c r="F359" s="17">
        <f>IF($A359&lt;=Dados_Cliente!$B$8*12,F358*(1+Dados_Cliente!$B$28)+Dados_Cliente!$B$7,F358)</f>
        <v/>
      </c>
    </row>
    <row r="360">
      <c r="A360">
        <f>A359+1</f>
        <v/>
      </c>
      <c r="B360">
        <f>A360/12</f>
        <v/>
      </c>
      <c r="C360" s="17">
        <f>IF($A360&lt;=Dados_Cliente!$B$8*12,C359+Dados_Cliente!$B$7,C359)</f>
        <v/>
      </c>
      <c r="D360" s="17">
        <f>IF($A360&lt;=Dados_Cliente!$B$8*12,D359*(1+Dados_Cliente!$B$24)+Dados_Cliente!$B$7,D359)</f>
        <v/>
      </c>
      <c r="E360" s="17">
        <f>IF($A360&lt;=Dados_Cliente!$B$8*12,E359*(1+Dados_Cliente!$B$27)+Dados_Cliente!$B$7,E359)</f>
        <v/>
      </c>
      <c r="F360" s="17">
        <f>IF($A360&lt;=Dados_Cliente!$B$8*12,F359*(1+Dados_Cliente!$B$28)+Dados_Cliente!$B$7,F359)</f>
        <v/>
      </c>
    </row>
    <row r="361">
      <c r="A361">
        <f>A360+1</f>
        <v/>
      </c>
      <c r="B361">
        <f>A361/12</f>
        <v/>
      </c>
      <c r="C361" s="17">
        <f>IF($A361&lt;=Dados_Cliente!$B$8*12,C360+Dados_Cliente!$B$7,C360)</f>
        <v/>
      </c>
      <c r="D361" s="17">
        <f>IF($A361&lt;=Dados_Cliente!$B$8*12,D360*(1+Dados_Cliente!$B$24)+Dados_Cliente!$B$7,D360)</f>
        <v/>
      </c>
      <c r="E361" s="17">
        <f>IF($A361&lt;=Dados_Cliente!$B$8*12,E360*(1+Dados_Cliente!$B$27)+Dados_Cliente!$B$7,E360)</f>
        <v/>
      </c>
      <c r="F361" s="17">
        <f>IF($A361&lt;=Dados_Cliente!$B$8*12,F360*(1+Dados_Cliente!$B$28)+Dados_Cliente!$B$7,F360)</f>
        <v/>
      </c>
    </row>
    <row r="362">
      <c r="A362">
        <f>A361+1</f>
        <v/>
      </c>
      <c r="B362">
        <f>A362/12</f>
        <v/>
      </c>
      <c r="C362" s="17">
        <f>IF($A362&lt;=Dados_Cliente!$B$8*12,C361+Dados_Cliente!$B$7,C361)</f>
        <v/>
      </c>
      <c r="D362" s="17">
        <f>IF($A362&lt;=Dados_Cliente!$B$8*12,D361*(1+Dados_Cliente!$B$24)+Dados_Cliente!$B$7,D361)</f>
        <v/>
      </c>
      <c r="E362" s="17">
        <f>IF($A362&lt;=Dados_Cliente!$B$8*12,E361*(1+Dados_Cliente!$B$27)+Dados_Cliente!$B$7,E361)</f>
        <v/>
      </c>
      <c r="F362" s="17">
        <f>IF($A362&lt;=Dados_Cliente!$B$8*12,F361*(1+Dados_Cliente!$B$28)+Dados_Cliente!$B$7,F361)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Resultado da Projeção</t>
        </is>
      </c>
    </row>
    <row r="3">
      <c r="A3" s="8" t="inlineStr">
        <is>
          <t>Cliente</t>
        </is>
      </c>
      <c r="B3" s="7">
        <f>Dados_Cliente!B3</f>
        <v/>
      </c>
    </row>
    <row r="4">
      <c r="A4" s="8" t="inlineStr">
        <is>
          <t>Perfil de risco</t>
        </is>
      </c>
      <c r="B4" s="7">
        <f>Dados_Cliente!B10</f>
        <v/>
      </c>
    </row>
    <row r="5">
      <c r="A5" s="8" t="inlineStr">
        <is>
          <t>Retorno anual estimado da carteira</t>
        </is>
      </c>
      <c r="B5" s="15">
        <f>Dados_Cliente!B21</f>
        <v/>
      </c>
    </row>
    <row r="6">
      <c r="A6" s="8" t="inlineStr">
        <is>
          <t>Prazo (anos)</t>
        </is>
      </c>
      <c r="B6" s="7">
        <f>Dados_Cliente!B8</f>
        <v/>
      </c>
    </row>
    <row r="7">
      <c r="A7" s="8" t="inlineStr">
        <is>
          <t>Total investido (aportes + inicial)</t>
        </is>
      </c>
      <c r="B7" s="18">
        <f>INDEX(Projecao!C:C,MATCH(Dados_Cliente!$B$8*12,Projecao!$A:$A,0))</f>
        <v/>
      </c>
    </row>
    <row r="9">
      <c r="A9" s="2" t="inlineStr">
        <is>
          <t>Cenários de Projeção (percentis 10 / 50 / 90 sobre o retorno da carteira)</t>
        </is>
      </c>
    </row>
    <row r="10">
      <c r="A10" s="8" t="inlineStr">
        <is>
          <t>Cenário otimista:</t>
        </is>
      </c>
      <c r="B10" s="19">
        <f>INDEX(Projecao!E:E,MATCH(Dados_Cliente!$B$8*12,Projecao!$A:$A,0))</f>
        <v/>
      </c>
    </row>
    <row r="11">
      <c r="A11" s="8" t="inlineStr">
        <is>
          <t>Cenário esperado:</t>
        </is>
      </c>
      <c r="B11" s="19">
        <f>INDEX(Projecao!D:D,MATCH(Dados_Cliente!$B$8*12,Projecao!$A:$A,0))</f>
        <v/>
      </c>
    </row>
    <row r="12">
      <c r="A12" s="8" t="inlineStr">
        <is>
          <t>Cenário pessimista:</t>
        </is>
      </c>
      <c r="B12" s="19">
        <f>INDEX(Projecao!F:F,MATCH(Dados_Cliente!$B$8*12,Projecao!$A:$A,0))</f>
        <v/>
      </c>
    </row>
    <row r="14">
      <c r="A14" s="2" t="inlineStr">
        <is>
          <t>Indicadores</t>
        </is>
      </c>
    </row>
    <row r="15">
      <c r="A15" s="8" t="inlineStr">
        <is>
          <t>Rendimento projetado (cenário esperado)</t>
        </is>
      </c>
      <c r="B15" s="18">
        <f>B11-B7</f>
        <v/>
      </c>
    </row>
    <row r="16">
      <c r="A16" s="8" t="inlineStr">
        <is>
          <t>CAGR (retorno anual composto, cenário esperado)</t>
        </is>
      </c>
      <c r="B16" s="15">
        <f>(B11/B7)^(1/B6)-1</f>
        <v/>
      </c>
    </row>
    <row r="17">
      <c r="A17" s="8" t="inlineStr">
        <is>
          <t>CAGR real (descontada a inflação)</t>
        </is>
      </c>
      <c r="B17" s="15">
        <f>(1+B16)/(1+Mercado!B11)-1</f>
        <v/>
      </c>
    </row>
    <row r="28">
      <c r="A28" s="5" t="inlineStr">
        <is>
          <t>Nota: o gráfico exibe até 30 anos; após o prazo escolhido, as linhas ficam estáveis (o valor não é mais projetado, é apenas mantido para referência visual).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2026-07-01T19:57:23Z</dcterms:created>
  <dcterms:modified xsi:type="dcterms:W3CDTF">2026-07-01T19:57:23Z</dcterms:modified>
</cp:coreProperties>
</file>