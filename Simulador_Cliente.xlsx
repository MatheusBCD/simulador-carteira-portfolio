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ustomStorage/customStorage.xml" ContentType="application/vnd.wps-officedocument.customStorag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10740"/>
  </bookViews>
  <sheets>
    <sheet name="Instrucoes" sheetId="1" r:id="rId1"/>
    <sheet name="Mercado" sheetId="2" r:id="rId2"/>
    <sheet name="Alocacao_Modelo" sheetId="4" r:id="rId3"/>
    <sheet name="Perfil_Risco" sheetId="3" r:id="rId4"/>
    <sheet name="Dados_Cliente" sheetId="5" r:id="rId5"/>
    <sheet name="Resultado" sheetId="7" r:id="rId6"/>
    <sheet name="Projecao" sheetId="6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<sst xmlns="http://schemas.openxmlformats.org/spreadsheetml/2006/main" count="117" uniqueCount="100">
  <si>
    <t>Simulador de Perfil do Cliente — Projeção de Resultados</t>
  </si>
  <si>
    <t>Como usar esta planilha:</t>
  </si>
  <si>
    <t>1. Vá até a aba 'Perfil_Risco' e responda as 4 perguntas (células azuis com lista suspensa).</t>
  </si>
  <si>
    <t>2. Vá até a aba 'Dados_Cliente' e preencha os dados em azul (nome, idade, renda, valores e prazo).</t>
  </si>
  <si>
    <t>3. Vá até a aba 'Resultado' para ver a projeção final, os indicadores e os gráficos.</t>
  </si>
  <si>
    <t>4. Se quiser, ajuste as premissas de mercado (retorno/risco/inflação) na aba 'Mercado'.</t>
  </si>
  <si>
    <t/>
  </si>
  <si>
    <t>Células AZUIS = você pode editar.  Células PRETAS = calculadas automaticamente, não edite.</t>
  </si>
  <si>
    <t>Prazo máximo suportado por esta planilha: 30 anos.</t>
  </si>
  <si>
    <t>Premissas de Mercado (edite os valores em azul)</t>
  </si>
  <si>
    <t>Código</t>
  </si>
  <si>
    <t>Classe de Ativo</t>
  </si>
  <si>
    <t>Retorno Anual Esperado</t>
  </si>
  <si>
    <t>Volatilidade Anual</t>
  </si>
  <si>
    <t>Fonte / Observação</t>
  </si>
  <si>
    <t>renda_fixa_pos</t>
  </si>
  <si>
    <t>Renda Fixa Pós-fixada (CDI / Tesouro Selic)</t>
  </si>
  <si>
    <t>Estimativa própria — ajustar conforme fonte oficial</t>
  </si>
  <si>
    <t>renda_fixa_pre</t>
  </si>
  <si>
    <t>Renda Fixa Prefixada / Inflação</t>
  </si>
  <si>
    <t>multimercado</t>
  </si>
  <si>
    <t>Fundos Multimercado</t>
  </si>
  <si>
    <t>acoes_br</t>
  </si>
  <si>
    <t>Ações Brasil</t>
  </si>
  <si>
    <t>acoes_global</t>
  </si>
  <si>
    <t>Ações Globais</t>
  </si>
  <si>
    <t>fundos_imobiliarios</t>
  </si>
  <si>
    <t>Fundos Imobiliários (FIIs)</t>
  </si>
  <si>
    <t>Inflação anual esperada (IPCA)</t>
  </si>
  <si>
    <t>Taxa livre de risco (CDI / Selic)</t>
  </si>
  <si>
    <t>Fonte sugerida para atualização: Banco Central do Brasil (bcb.gov.br) para CDI/Selic, e IBGE (ibge.gov.br/explica/inflacao.php) para o IPCA.</t>
  </si>
  <si>
    <t>Alocação-modelo por Perfil de Risco (% da carteira)</t>
  </si>
  <si>
    <t>Perfil</t>
  </si>
  <si>
    <t>conservador</t>
  </si>
  <si>
    <t>moderado</t>
  </si>
  <si>
    <t>arrojado</t>
  </si>
  <si>
    <t>Questionário de Perfil de Risco (Suitability)</t>
  </si>
  <si>
    <t>Preservar o capital, evitando perdas</t>
  </si>
  <si>
    <t>Pergunta</t>
  </si>
  <si>
    <t>Sua resposta (selecione)</t>
  </si>
  <si>
    <t>Pontuação</t>
  </si>
  <si>
    <t>Obter renda com baixo risco</t>
  </si>
  <si>
    <t>Qual seu objetivo principal com os investimentos?</t>
  </si>
  <si>
    <t>Crescimento do patrimônio no médio prazo</t>
  </si>
  <si>
    <t>Qual seu horizonte de investimento?</t>
  </si>
  <si>
    <t>Até 1 ano</t>
  </si>
  <si>
    <t>Maximizar retorno, aceitando oscilações</t>
  </si>
  <si>
    <t>Se sua carteira caísse 15% em um mês, você:</t>
  </si>
  <si>
    <t>Resgataria tudo imediatamente</t>
  </si>
  <si>
    <t>Qual sua experiência com investimentos de risco (ações, fundos)?</t>
  </si>
  <si>
    <t>Nenhuma experiência</t>
  </si>
  <si>
    <t>De 1 a 3 anos</t>
  </si>
  <si>
    <t>Pontuação total</t>
  </si>
  <si>
    <t>De 3 a 7 anos</t>
  </si>
  <si>
    <t>Perfil identificado</t>
  </si>
  <si>
    <t>Mais de 7 anos</t>
  </si>
  <si>
    <t>Resgataria parte do valor</t>
  </si>
  <si>
    <t>Manteria o investimento</t>
  </si>
  <si>
    <t>Aproveitaria para investir mais</t>
  </si>
  <si>
    <t>Pouca experiência</t>
  </si>
  <si>
    <t>Experiência moderada</t>
  </si>
  <si>
    <t>Bastante experiência</t>
  </si>
  <si>
    <t>Dados do Cliente</t>
  </si>
  <si>
    <t>Nome</t>
  </si>
  <si>
    <t>matheus</t>
  </si>
  <si>
    <t>Idade</t>
  </si>
  <si>
    <t>Renda mensal (R$)</t>
  </si>
  <si>
    <t>Valor inicial disponível (R$)</t>
  </si>
  <si>
    <t>Aporte mensal planejado (R$)</t>
  </si>
  <si>
    <t>Prazo do investimento (anos, máx. 30)</t>
  </si>
  <si>
    <t>Perfil de risco (do questionário)</t>
  </si>
  <si>
    <t>Alocação atual da carteira (conforme perfil)</t>
  </si>
  <si>
    <t>Peso (%)</t>
  </si>
  <si>
    <t>Retorno anual estimado da carteira</t>
  </si>
  <si>
    <t>Volatilidade anual estimada da carteira</t>
  </si>
  <si>
    <t>Taxa mensal — cenário esperado</t>
  </si>
  <si>
    <t>Retorno anual — cenário otimista (aprox. percentil 90)</t>
  </si>
  <si>
    <t>Retorno anual — cenário pessimista (aprox. percentil 10, piso -30%)</t>
  </si>
  <si>
    <t>Taxa mensal — cenário otimista</t>
  </si>
  <si>
    <t>Taxa mensal — cenário pessimista</t>
  </si>
  <si>
    <t>Resultado da Projeção</t>
  </si>
  <si>
    <t>Cliente</t>
  </si>
  <si>
    <t>Perfil de risco</t>
  </si>
  <si>
    <t>Prazo (anos)</t>
  </si>
  <si>
    <t>Total investido (aportes + inicial)</t>
  </si>
  <si>
    <t>Cenários de Projeção (percentis 10 / 50 / 90 sobre o retorno da carteira)</t>
  </si>
  <si>
    <t>Cenário otimista:</t>
  </si>
  <si>
    <t>Cenário esperado:</t>
  </si>
  <si>
    <t>Cenário pessimista:</t>
  </si>
  <si>
    <t>Indicadores</t>
  </si>
  <si>
    <t>Rendimento projetado (cenário esperado)</t>
  </si>
  <si>
    <t>CAGR (retorno anual composto, cenário esperado)</t>
  </si>
  <si>
    <t>CAGR real (descontada a inflação)</t>
  </si>
  <si>
    <t>Nota: o gráfico exibe até 30 anos; após o prazo escolhido, as linhas ficam estáveis (o valor não é mais projetado, é apenas mantido para referência visual).</t>
  </si>
  <si>
    <t>Mês</t>
  </si>
  <si>
    <t>Ano</t>
  </si>
  <si>
    <t>Total Aportado</t>
  </si>
  <si>
    <t>Saldo — Cenário Esperado</t>
  </si>
  <si>
    <t>Saldo — Cenário Otimista</t>
  </si>
  <si>
    <t>Saldo — Cenário Pessimista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</si>
</sst>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176" formatCode="_-* #,##0.00_-;\-* #,##0.00_-;_-* &quot;-&quot;??_-;_-@_-"/>
    <numFmt numFmtId="177" formatCode="_-&quot;R$&quot;\ * #,##0.00_-;\-&quot;R$&quot;\ * #,##0.00_-;_-&quot;R$&quot;\ * &quot;-&quot;??_-;_-@_-"/>
    <numFmt numFmtId="178" formatCode="_-* #,##0_-;\-* #,##0_-;_-* &quot;-&quot;_-;_-@_-"/>
    <numFmt numFmtId="179" formatCode="_-&quot;R$&quot;\ * #,##0_-;\-&quot;R$&quot;\ * #,##0_-;_-&quot;R$&quot;\ * &quot;-&quot;_-;_-@_-"/>
    <numFmt numFmtId="180" formatCode="&quot;R$&quot;\ #,##0"/>
    <numFmt numFmtId="181" formatCode="&quot;R$&quot;\ #,##0.00"/>
    <numFmt numFmtId="182" formatCode="0.0%"/>
    <numFmt numFmtId="183" formatCode="0.000%"/>
  </numFmts>
  <fonts count="27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b/>
      <sz val="14"/>
      <name val="Calibri"/>
      <charset val="134"/>
      <scheme val="minor"/>
    </font>
    <font>
      <sz val="11"/>
      <color rgb="FF000000"/>
      <name val="Calibri"/>
      <charset val="134"/>
      <scheme val="minor"/>
    </font>
    <font>
      <i/>
      <sz val="9"/>
      <name val="Calibri"/>
      <charset val="134"/>
      <scheme val="minor"/>
    </font>
    <font>
      <sz val="11"/>
      <color rgb="FF0000FF"/>
      <name val="Calibri"/>
      <charset val="134"/>
      <scheme val="minor"/>
    </font>
    <font>
      <sz val="11"/>
      <color rgb="FF008000"/>
      <name val="Calibri"/>
      <charset val="134"/>
      <scheme val="minor"/>
    </font>
    <font>
      <sz val="10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7" fillId="0" borderId="0" applyFont="0" applyFill="0" applyBorder="0" applyAlignment="0" applyProtection="0">
      <alignment vertical="center"/>
    </xf>
    <xf numFmtId="177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178" fontId="7" fillId="0" borderId="0" applyFont="0" applyFill="0" applyBorder="0" applyAlignment="0" applyProtection="0">
      <alignment vertical="center"/>
    </xf>
    <xf numFmtId="179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4" borderId="1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5" borderId="4" applyNumberFormat="0" applyAlignment="0" applyProtection="0">
      <alignment vertical="center"/>
    </xf>
    <xf numFmtId="0" fontId="17" fillId="6" borderId="5" applyNumberFormat="0" applyAlignment="0" applyProtection="0">
      <alignment vertical="center"/>
    </xf>
    <xf numFmtId="0" fontId="18" fillId="6" borderId="4" applyNumberFormat="0" applyAlignment="0" applyProtection="0">
      <alignment vertical="center"/>
    </xf>
    <xf numFmtId="0" fontId="19" fillId="7" borderId="6" applyNumberFormat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</cellStyleXfs>
  <cellXfs count="19">
    <xf numFmtId="0" fontId="0" fillId="0" borderId="0" xfId="0"/>
    <xf numFmtId="0" fontId="1" fillId="2" borderId="0" xfId="0" applyFont="1" applyFill="1"/>
    <xf numFmtId="180" fontId="0" fillId="0" borderId="0" xfId="0" applyNumberFormat="1"/>
    <xf numFmtId="0" fontId="2" fillId="0" borderId="0" xfId="0" applyFont="1"/>
    <xf numFmtId="0" fontId="1" fillId="0" borderId="0" xfId="0" applyFont="1"/>
    <xf numFmtId="0" fontId="3" fillId="0" borderId="0" xfId="0" applyFont="1"/>
    <xf numFmtId="10" fontId="3" fillId="0" borderId="0" xfId="0" applyNumberFormat="1" applyFont="1"/>
    <xf numFmtId="181" fontId="3" fillId="0" borderId="0" xfId="0" applyNumberFormat="1" applyFont="1"/>
    <xf numFmtId="181" fontId="3" fillId="3" borderId="0" xfId="0" applyNumberFormat="1" applyFont="1" applyFill="1"/>
    <xf numFmtId="0" fontId="4" fillId="0" borderId="0" xfId="0" applyFont="1"/>
    <xf numFmtId="0" fontId="5" fillId="3" borderId="0" xfId="0" applyFont="1" applyFill="1"/>
    <xf numFmtId="181" fontId="5" fillId="3" borderId="0" xfId="0" applyNumberFormat="1" applyFont="1" applyFill="1"/>
    <xf numFmtId="0" fontId="6" fillId="3" borderId="0" xfId="0" applyFont="1" applyFill="1"/>
    <xf numFmtId="0" fontId="6" fillId="0" borderId="0" xfId="0" applyFont="1"/>
    <xf numFmtId="182" fontId="3" fillId="0" borderId="0" xfId="0" applyNumberFormat="1" applyFont="1"/>
    <xf numFmtId="183" fontId="3" fillId="0" borderId="0" xfId="0" applyNumberFormat="1" applyFont="1"/>
    <xf numFmtId="0" fontId="3" fillId="3" borderId="0" xfId="0" applyFont="1" applyFill="1"/>
    <xf numFmtId="9" fontId="5" fillId="0" borderId="0" xfId="0" applyNumberFormat="1" applyFont="1"/>
    <xf numFmtId="182" fontId="5" fillId="0" borderId="0" xfId="0" applyNumberFormat="1" applyFont="1"/>
  </cellXfs>
  <cellStyles count="49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www.wps.cn/officeDocument/2023/relationships/customStorage" Target="customStorage/customStorage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pt-BR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Evolução do Patrimônio — Cenários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Projecao!$E$1</c:f>
              <c:strCache>
                <c:ptCount val="1"/>
                <c:pt idx="0">
                  <c:v>Saldo — Cenário Otimista</c:v>
                </c:pt>
              </c:strCache>
            </c:strRef>
          </c:tx>
          <c:spPr>
            <a:ln w="28575" cap="rnd" cmpd="sng" algn="ctr">
              <a:solidFill>
                <a:schemeClr val="accent1">
                  <a:shade val="95000"/>
                  <a:satMod val="105000"/>
                </a:schemeClr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numRef>
              <c:f>Projecao!$B$2:$B$362</c:f>
              <c:numCache>
                <c:formatCode>General</c:formatCode>
                <c:ptCount val="361"/>
                <c:pt idx="0">
                  <c:v>0</c:v>
                </c:pt>
                <c:pt idx="1">
                  <c:v>0.0833333333333333</c:v>
                </c:pt>
                <c:pt idx="2">
                  <c:v>0.166666666666667</c:v>
                </c:pt>
                <c:pt idx="3">
                  <c:v>0.25</c:v>
                </c:pt>
                <c:pt idx="4">
                  <c:v>0.333333333333333</c:v>
                </c:pt>
                <c:pt idx="5">
                  <c:v>0.416666666666667</c:v>
                </c:pt>
                <c:pt idx="6">
                  <c:v>0.5</c:v>
                </c:pt>
                <c:pt idx="7">
                  <c:v>0.583333333333333</c:v>
                </c:pt>
                <c:pt idx="8">
                  <c:v>0.666666666666667</c:v>
                </c:pt>
                <c:pt idx="9">
                  <c:v>0.75</c:v>
                </c:pt>
                <c:pt idx="10">
                  <c:v>0.833333333333333</c:v>
                </c:pt>
                <c:pt idx="11">
                  <c:v>0.916666666666667</c:v>
                </c:pt>
                <c:pt idx="12">
                  <c:v>1</c:v>
                </c:pt>
                <c:pt idx="13">
                  <c:v>1.08333333333333</c:v>
                </c:pt>
                <c:pt idx="14">
                  <c:v>1.16666666666667</c:v>
                </c:pt>
                <c:pt idx="15">
                  <c:v>1.25</c:v>
                </c:pt>
                <c:pt idx="16">
                  <c:v>1.33333333333333</c:v>
                </c:pt>
                <c:pt idx="17">
                  <c:v>1.41666666666667</c:v>
                </c:pt>
                <c:pt idx="18">
                  <c:v>1.5</c:v>
                </c:pt>
                <c:pt idx="19">
                  <c:v>1.58333333333333</c:v>
                </c:pt>
                <c:pt idx="20">
                  <c:v>1.66666666666667</c:v>
                </c:pt>
                <c:pt idx="21">
                  <c:v>1.75</c:v>
                </c:pt>
                <c:pt idx="22">
                  <c:v>1.83333333333333</c:v>
                </c:pt>
                <c:pt idx="23">
                  <c:v>1.91666666666667</c:v>
                </c:pt>
                <c:pt idx="24">
                  <c:v>2</c:v>
                </c:pt>
                <c:pt idx="25">
                  <c:v>2.08333333333333</c:v>
                </c:pt>
                <c:pt idx="26">
                  <c:v>2.16666666666667</c:v>
                </c:pt>
                <c:pt idx="27">
                  <c:v>2.25</c:v>
                </c:pt>
                <c:pt idx="28">
                  <c:v>2.33333333333333</c:v>
                </c:pt>
                <c:pt idx="29">
                  <c:v>2.41666666666667</c:v>
                </c:pt>
                <c:pt idx="30">
                  <c:v>2.5</c:v>
                </c:pt>
                <c:pt idx="31">
                  <c:v>2.58333333333333</c:v>
                </c:pt>
                <c:pt idx="32">
                  <c:v>2.66666666666667</c:v>
                </c:pt>
                <c:pt idx="33">
                  <c:v>2.75</c:v>
                </c:pt>
                <c:pt idx="34">
                  <c:v>2.83333333333333</c:v>
                </c:pt>
                <c:pt idx="35">
                  <c:v>2.91666666666667</c:v>
                </c:pt>
                <c:pt idx="36">
                  <c:v>3</c:v>
                </c:pt>
                <c:pt idx="37">
                  <c:v>3.08333333333333</c:v>
                </c:pt>
                <c:pt idx="38">
                  <c:v>3.16666666666667</c:v>
                </c:pt>
                <c:pt idx="39">
                  <c:v>3.25</c:v>
                </c:pt>
                <c:pt idx="40">
                  <c:v>3.33333333333333</c:v>
                </c:pt>
                <c:pt idx="41">
                  <c:v>3.41666666666667</c:v>
                </c:pt>
                <c:pt idx="42">
                  <c:v>3.5</c:v>
                </c:pt>
                <c:pt idx="43">
                  <c:v>3.58333333333333</c:v>
                </c:pt>
                <c:pt idx="44">
                  <c:v>3.66666666666667</c:v>
                </c:pt>
                <c:pt idx="45">
                  <c:v>3.75</c:v>
                </c:pt>
                <c:pt idx="46">
                  <c:v>3.83333333333333</c:v>
                </c:pt>
                <c:pt idx="47">
                  <c:v>3.91666666666667</c:v>
                </c:pt>
                <c:pt idx="48">
                  <c:v>4</c:v>
                </c:pt>
                <c:pt idx="49">
                  <c:v>4.08333333333333</c:v>
                </c:pt>
                <c:pt idx="50">
                  <c:v>4.16666666666667</c:v>
                </c:pt>
                <c:pt idx="51">
                  <c:v>4.25</c:v>
                </c:pt>
                <c:pt idx="52">
                  <c:v>4.33333333333333</c:v>
                </c:pt>
                <c:pt idx="53">
                  <c:v>4.41666666666667</c:v>
                </c:pt>
                <c:pt idx="54">
                  <c:v>4.5</c:v>
                </c:pt>
                <c:pt idx="55">
                  <c:v>4.58333333333333</c:v>
                </c:pt>
                <c:pt idx="56">
                  <c:v>4.66666666666667</c:v>
                </c:pt>
                <c:pt idx="57">
                  <c:v>4.75</c:v>
                </c:pt>
                <c:pt idx="58">
                  <c:v>4.83333333333333</c:v>
                </c:pt>
                <c:pt idx="59">
                  <c:v>4.91666666666667</c:v>
                </c:pt>
                <c:pt idx="60">
                  <c:v>5</c:v>
                </c:pt>
                <c:pt idx="61">
                  <c:v>5.08333333333333</c:v>
                </c:pt>
                <c:pt idx="62">
                  <c:v>5.16666666666667</c:v>
                </c:pt>
                <c:pt idx="63">
                  <c:v>5.25</c:v>
                </c:pt>
                <c:pt idx="64">
                  <c:v>5.33333333333333</c:v>
                </c:pt>
                <c:pt idx="65">
                  <c:v>5.41666666666667</c:v>
                </c:pt>
                <c:pt idx="66">
                  <c:v>5.5</c:v>
                </c:pt>
                <c:pt idx="67">
                  <c:v>5.58333333333333</c:v>
                </c:pt>
                <c:pt idx="68">
                  <c:v>5.66666666666667</c:v>
                </c:pt>
                <c:pt idx="69">
                  <c:v>5.75</c:v>
                </c:pt>
                <c:pt idx="70">
                  <c:v>5.83333333333333</c:v>
                </c:pt>
                <c:pt idx="71">
                  <c:v>5.91666666666667</c:v>
                </c:pt>
                <c:pt idx="72">
                  <c:v>6</c:v>
                </c:pt>
                <c:pt idx="73">
                  <c:v>6.08333333333333</c:v>
                </c:pt>
                <c:pt idx="74">
                  <c:v>6.16666666666667</c:v>
                </c:pt>
                <c:pt idx="75">
                  <c:v>6.25</c:v>
                </c:pt>
                <c:pt idx="76">
                  <c:v>6.33333333333333</c:v>
                </c:pt>
                <c:pt idx="77">
                  <c:v>6.41666666666667</c:v>
                </c:pt>
                <c:pt idx="78">
                  <c:v>6.5</c:v>
                </c:pt>
                <c:pt idx="79">
                  <c:v>6.58333333333333</c:v>
                </c:pt>
                <c:pt idx="80">
                  <c:v>6.66666666666667</c:v>
                </c:pt>
                <c:pt idx="81">
                  <c:v>6.75</c:v>
                </c:pt>
                <c:pt idx="82">
                  <c:v>6.83333333333333</c:v>
                </c:pt>
                <c:pt idx="83">
                  <c:v>6.91666666666667</c:v>
                </c:pt>
                <c:pt idx="84">
                  <c:v>7</c:v>
                </c:pt>
                <c:pt idx="85">
                  <c:v>7.08333333333333</c:v>
                </c:pt>
                <c:pt idx="86">
                  <c:v>7.16666666666667</c:v>
                </c:pt>
                <c:pt idx="87">
                  <c:v>7.25</c:v>
                </c:pt>
                <c:pt idx="88">
                  <c:v>7.33333333333333</c:v>
                </c:pt>
                <c:pt idx="89">
                  <c:v>7.41666666666667</c:v>
                </c:pt>
                <c:pt idx="90">
                  <c:v>7.5</c:v>
                </c:pt>
                <c:pt idx="91">
                  <c:v>7.58333333333333</c:v>
                </c:pt>
                <c:pt idx="92">
                  <c:v>7.66666666666667</c:v>
                </c:pt>
                <c:pt idx="93">
                  <c:v>7.75</c:v>
                </c:pt>
                <c:pt idx="94">
                  <c:v>7.83333333333333</c:v>
                </c:pt>
                <c:pt idx="95">
                  <c:v>7.91666666666667</c:v>
                </c:pt>
                <c:pt idx="96">
                  <c:v>8</c:v>
                </c:pt>
                <c:pt idx="97">
                  <c:v>8.08333333333333</c:v>
                </c:pt>
                <c:pt idx="98">
                  <c:v>8.16666666666667</c:v>
                </c:pt>
                <c:pt idx="99">
                  <c:v>8.25</c:v>
                </c:pt>
                <c:pt idx="100">
                  <c:v>8.33333333333333</c:v>
                </c:pt>
                <c:pt idx="101">
                  <c:v>8.41666666666667</c:v>
                </c:pt>
                <c:pt idx="102">
                  <c:v>8.5</c:v>
                </c:pt>
                <c:pt idx="103">
                  <c:v>8.58333333333333</c:v>
                </c:pt>
                <c:pt idx="104">
                  <c:v>8.66666666666667</c:v>
                </c:pt>
                <c:pt idx="105">
                  <c:v>8.75</c:v>
                </c:pt>
                <c:pt idx="106">
                  <c:v>8.83333333333333</c:v>
                </c:pt>
                <c:pt idx="107">
                  <c:v>8.91666666666667</c:v>
                </c:pt>
                <c:pt idx="108">
                  <c:v>9</c:v>
                </c:pt>
                <c:pt idx="109">
                  <c:v>9.08333333333333</c:v>
                </c:pt>
                <c:pt idx="110">
                  <c:v>9.16666666666667</c:v>
                </c:pt>
                <c:pt idx="111">
                  <c:v>9.25</c:v>
                </c:pt>
                <c:pt idx="112">
                  <c:v>9.33333333333333</c:v>
                </c:pt>
                <c:pt idx="113">
                  <c:v>9.41666666666667</c:v>
                </c:pt>
                <c:pt idx="114">
                  <c:v>9.5</c:v>
                </c:pt>
                <c:pt idx="115">
                  <c:v>9.58333333333333</c:v>
                </c:pt>
                <c:pt idx="116">
                  <c:v>9.66666666666667</c:v>
                </c:pt>
                <c:pt idx="117">
                  <c:v>9.75</c:v>
                </c:pt>
                <c:pt idx="118">
                  <c:v>9.83333333333333</c:v>
                </c:pt>
                <c:pt idx="119">
                  <c:v>9.91666666666667</c:v>
                </c:pt>
                <c:pt idx="120">
                  <c:v>10</c:v>
                </c:pt>
                <c:pt idx="121">
                  <c:v>10.0833333333333</c:v>
                </c:pt>
                <c:pt idx="122">
                  <c:v>10.1666666666667</c:v>
                </c:pt>
                <c:pt idx="123">
                  <c:v>10.25</c:v>
                </c:pt>
                <c:pt idx="124">
                  <c:v>10.3333333333333</c:v>
                </c:pt>
                <c:pt idx="125">
                  <c:v>10.4166666666667</c:v>
                </c:pt>
                <c:pt idx="126">
                  <c:v>10.5</c:v>
                </c:pt>
                <c:pt idx="127">
                  <c:v>10.5833333333333</c:v>
                </c:pt>
                <c:pt idx="128">
                  <c:v>10.6666666666667</c:v>
                </c:pt>
                <c:pt idx="129">
                  <c:v>10.75</c:v>
                </c:pt>
                <c:pt idx="130">
                  <c:v>10.8333333333333</c:v>
                </c:pt>
                <c:pt idx="131">
                  <c:v>10.9166666666667</c:v>
                </c:pt>
                <c:pt idx="132">
                  <c:v>11</c:v>
                </c:pt>
                <c:pt idx="133">
                  <c:v>11.0833333333333</c:v>
                </c:pt>
                <c:pt idx="134">
                  <c:v>11.1666666666667</c:v>
                </c:pt>
                <c:pt idx="135">
                  <c:v>11.25</c:v>
                </c:pt>
                <c:pt idx="136">
                  <c:v>11.3333333333333</c:v>
                </c:pt>
                <c:pt idx="137">
                  <c:v>11.4166666666667</c:v>
                </c:pt>
                <c:pt idx="138">
                  <c:v>11.5</c:v>
                </c:pt>
                <c:pt idx="139">
                  <c:v>11.5833333333333</c:v>
                </c:pt>
                <c:pt idx="140">
                  <c:v>11.6666666666667</c:v>
                </c:pt>
                <c:pt idx="141">
                  <c:v>11.75</c:v>
                </c:pt>
                <c:pt idx="142">
                  <c:v>11.8333333333333</c:v>
                </c:pt>
                <c:pt idx="143">
                  <c:v>11.9166666666667</c:v>
                </c:pt>
                <c:pt idx="144">
                  <c:v>12</c:v>
                </c:pt>
                <c:pt idx="145">
                  <c:v>12.0833333333333</c:v>
                </c:pt>
                <c:pt idx="146">
                  <c:v>12.1666666666667</c:v>
                </c:pt>
                <c:pt idx="147">
                  <c:v>12.25</c:v>
                </c:pt>
                <c:pt idx="148">
                  <c:v>12.3333333333333</c:v>
                </c:pt>
                <c:pt idx="149">
                  <c:v>12.4166666666667</c:v>
                </c:pt>
                <c:pt idx="150">
                  <c:v>12.5</c:v>
                </c:pt>
                <c:pt idx="151">
                  <c:v>12.5833333333333</c:v>
                </c:pt>
                <c:pt idx="152">
                  <c:v>12.6666666666667</c:v>
                </c:pt>
                <c:pt idx="153">
                  <c:v>12.75</c:v>
                </c:pt>
                <c:pt idx="154">
                  <c:v>12.8333333333333</c:v>
                </c:pt>
                <c:pt idx="155">
                  <c:v>12.9166666666667</c:v>
                </c:pt>
                <c:pt idx="156">
                  <c:v>13</c:v>
                </c:pt>
                <c:pt idx="157">
                  <c:v>13.0833333333333</c:v>
                </c:pt>
                <c:pt idx="158">
                  <c:v>13.1666666666667</c:v>
                </c:pt>
                <c:pt idx="159">
                  <c:v>13.25</c:v>
                </c:pt>
                <c:pt idx="160">
                  <c:v>13.3333333333333</c:v>
                </c:pt>
                <c:pt idx="161">
                  <c:v>13.4166666666667</c:v>
                </c:pt>
                <c:pt idx="162">
                  <c:v>13.5</c:v>
                </c:pt>
                <c:pt idx="163">
                  <c:v>13.5833333333333</c:v>
                </c:pt>
                <c:pt idx="164">
                  <c:v>13.6666666666667</c:v>
                </c:pt>
                <c:pt idx="165">
                  <c:v>13.75</c:v>
                </c:pt>
                <c:pt idx="166">
                  <c:v>13.8333333333333</c:v>
                </c:pt>
                <c:pt idx="167">
                  <c:v>13.9166666666667</c:v>
                </c:pt>
                <c:pt idx="168">
                  <c:v>14</c:v>
                </c:pt>
                <c:pt idx="169">
                  <c:v>14.0833333333333</c:v>
                </c:pt>
                <c:pt idx="170">
                  <c:v>14.1666666666667</c:v>
                </c:pt>
                <c:pt idx="171">
                  <c:v>14.25</c:v>
                </c:pt>
                <c:pt idx="172">
                  <c:v>14.3333333333333</c:v>
                </c:pt>
                <c:pt idx="173">
                  <c:v>14.4166666666667</c:v>
                </c:pt>
                <c:pt idx="174">
                  <c:v>14.5</c:v>
                </c:pt>
                <c:pt idx="175">
                  <c:v>14.5833333333333</c:v>
                </c:pt>
                <c:pt idx="176">
                  <c:v>14.6666666666667</c:v>
                </c:pt>
                <c:pt idx="177">
                  <c:v>14.75</c:v>
                </c:pt>
                <c:pt idx="178">
                  <c:v>14.8333333333333</c:v>
                </c:pt>
                <c:pt idx="179">
                  <c:v>14.9166666666667</c:v>
                </c:pt>
                <c:pt idx="180">
                  <c:v>15</c:v>
                </c:pt>
                <c:pt idx="181">
                  <c:v>15.0833333333333</c:v>
                </c:pt>
                <c:pt idx="182">
                  <c:v>15.1666666666667</c:v>
                </c:pt>
                <c:pt idx="183">
                  <c:v>15.25</c:v>
                </c:pt>
                <c:pt idx="184">
                  <c:v>15.3333333333333</c:v>
                </c:pt>
                <c:pt idx="185">
                  <c:v>15.4166666666667</c:v>
                </c:pt>
                <c:pt idx="186">
                  <c:v>15.5</c:v>
                </c:pt>
                <c:pt idx="187">
                  <c:v>15.5833333333333</c:v>
                </c:pt>
                <c:pt idx="188">
                  <c:v>15.6666666666667</c:v>
                </c:pt>
                <c:pt idx="189">
                  <c:v>15.75</c:v>
                </c:pt>
                <c:pt idx="190">
                  <c:v>15.8333333333333</c:v>
                </c:pt>
                <c:pt idx="191">
                  <c:v>15.9166666666667</c:v>
                </c:pt>
                <c:pt idx="192">
                  <c:v>16</c:v>
                </c:pt>
                <c:pt idx="193">
                  <c:v>16.0833333333333</c:v>
                </c:pt>
                <c:pt idx="194">
                  <c:v>16.1666666666667</c:v>
                </c:pt>
                <c:pt idx="195">
                  <c:v>16.25</c:v>
                </c:pt>
                <c:pt idx="196">
                  <c:v>16.3333333333333</c:v>
                </c:pt>
                <c:pt idx="197">
                  <c:v>16.4166666666667</c:v>
                </c:pt>
                <c:pt idx="198">
                  <c:v>16.5</c:v>
                </c:pt>
                <c:pt idx="199">
                  <c:v>16.5833333333333</c:v>
                </c:pt>
                <c:pt idx="200">
                  <c:v>16.6666666666667</c:v>
                </c:pt>
                <c:pt idx="201">
                  <c:v>16.75</c:v>
                </c:pt>
                <c:pt idx="202">
                  <c:v>16.8333333333333</c:v>
                </c:pt>
                <c:pt idx="203">
                  <c:v>16.9166666666667</c:v>
                </c:pt>
                <c:pt idx="204">
                  <c:v>17</c:v>
                </c:pt>
                <c:pt idx="205">
                  <c:v>17.0833333333333</c:v>
                </c:pt>
                <c:pt idx="206">
                  <c:v>17.1666666666667</c:v>
                </c:pt>
                <c:pt idx="207">
                  <c:v>17.25</c:v>
                </c:pt>
                <c:pt idx="208">
                  <c:v>17.3333333333333</c:v>
                </c:pt>
                <c:pt idx="209">
                  <c:v>17.4166666666667</c:v>
                </c:pt>
                <c:pt idx="210">
                  <c:v>17.5</c:v>
                </c:pt>
                <c:pt idx="211">
                  <c:v>17.5833333333333</c:v>
                </c:pt>
                <c:pt idx="212">
                  <c:v>17.6666666666667</c:v>
                </c:pt>
                <c:pt idx="213">
                  <c:v>17.75</c:v>
                </c:pt>
                <c:pt idx="214">
                  <c:v>17.8333333333333</c:v>
                </c:pt>
                <c:pt idx="215">
                  <c:v>17.9166666666667</c:v>
                </c:pt>
                <c:pt idx="216">
                  <c:v>18</c:v>
                </c:pt>
                <c:pt idx="217">
                  <c:v>18.0833333333333</c:v>
                </c:pt>
                <c:pt idx="218">
                  <c:v>18.1666666666667</c:v>
                </c:pt>
                <c:pt idx="219">
                  <c:v>18.25</c:v>
                </c:pt>
                <c:pt idx="220">
                  <c:v>18.3333333333333</c:v>
                </c:pt>
                <c:pt idx="221">
                  <c:v>18.4166666666667</c:v>
                </c:pt>
                <c:pt idx="222">
                  <c:v>18.5</c:v>
                </c:pt>
                <c:pt idx="223">
                  <c:v>18.5833333333333</c:v>
                </c:pt>
                <c:pt idx="224">
                  <c:v>18.6666666666667</c:v>
                </c:pt>
                <c:pt idx="225">
                  <c:v>18.75</c:v>
                </c:pt>
                <c:pt idx="226">
                  <c:v>18.8333333333333</c:v>
                </c:pt>
                <c:pt idx="227">
                  <c:v>18.9166666666667</c:v>
                </c:pt>
                <c:pt idx="228">
                  <c:v>19</c:v>
                </c:pt>
                <c:pt idx="229">
                  <c:v>19.0833333333333</c:v>
                </c:pt>
                <c:pt idx="230">
                  <c:v>19.1666666666667</c:v>
                </c:pt>
                <c:pt idx="231">
                  <c:v>19.25</c:v>
                </c:pt>
                <c:pt idx="232">
                  <c:v>19.3333333333333</c:v>
                </c:pt>
                <c:pt idx="233">
                  <c:v>19.4166666666667</c:v>
                </c:pt>
                <c:pt idx="234">
                  <c:v>19.5</c:v>
                </c:pt>
                <c:pt idx="235">
                  <c:v>19.5833333333333</c:v>
                </c:pt>
                <c:pt idx="236">
                  <c:v>19.6666666666667</c:v>
                </c:pt>
                <c:pt idx="237">
                  <c:v>19.75</c:v>
                </c:pt>
                <c:pt idx="238">
                  <c:v>19.8333333333333</c:v>
                </c:pt>
                <c:pt idx="239">
                  <c:v>19.9166666666667</c:v>
                </c:pt>
                <c:pt idx="240">
                  <c:v>20</c:v>
                </c:pt>
                <c:pt idx="241">
                  <c:v>20.0833333333333</c:v>
                </c:pt>
                <c:pt idx="242">
                  <c:v>20.1666666666667</c:v>
                </c:pt>
                <c:pt idx="243">
                  <c:v>20.25</c:v>
                </c:pt>
                <c:pt idx="244">
                  <c:v>20.3333333333333</c:v>
                </c:pt>
                <c:pt idx="245">
                  <c:v>20.4166666666667</c:v>
                </c:pt>
                <c:pt idx="246">
                  <c:v>20.5</c:v>
                </c:pt>
                <c:pt idx="247">
                  <c:v>20.5833333333333</c:v>
                </c:pt>
                <c:pt idx="248">
                  <c:v>20.6666666666667</c:v>
                </c:pt>
                <c:pt idx="249">
                  <c:v>20.75</c:v>
                </c:pt>
                <c:pt idx="250">
                  <c:v>20.8333333333333</c:v>
                </c:pt>
                <c:pt idx="251">
                  <c:v>20.9166666666667</c:v>
                </c:pt>
                <c:pt idx="252">
                  <c:v>21</c:v>
                </c:pt>
                <c:pt idx="253">
                  <c:v>21.0833333333333</c:v>
                </c:pt>
                <c:pt idx="254">
                  <c:v>21.1666666666667</c:v>
                </c:pt>
                <c:pt idx="255">
                  <c:v>21.25</c:v>
                </c:pt>
                <c:pt idx="256">
                  <c:v>21.3333333333333</c:v>
                </c:pt>
                <c:pt idx="257">
                  <c:v>21.4166666666667</c:v>
                </c:pt>
                <c:pt idx="258">
                  <c:v>21.5</c:v>
                </c:pt>
                <c:pt idx="259">
                  <c:v>21.5833333333333</c:v>
                </c:pt>
                <c:pt idx="260">
                  <c:v>21.6666666666667</c:v>
                </c:pt>
                <c:pt idx="261">
                  <c:v>21.75</c:v>
                </c:pt>
                <c:pt idx="262">
                  <c:v>21.8333333333333</c:v>
                </c:pt>
                <c:pt idx="263">
                  <c:v>21.9166666666667</c:v>
                </c:pt>
                <c:pt idx="264">
                  <c:v>22</c:v>
                </c:pt>
                <c:pt idx="265">
                  <c:v>22.0833333333333</c:v>
                </c:pt>
                <c:pt idx="266">
                  <c:v>22.1666666666667</c:v>
                </c:pt>
                <c:pt idx="267">
                  <c:v>22.25</c:v>
                </c:pt>
                <c:pt idx="268">
                  <c:v>22.3333333333333</c:v>
                </c:pt>
                <c:pt idx="269">
                  <c:v>22.4166666666667</c:v>
                </c:pt>
                <c:pt idx="270">
                  <c:v>22.5</c:v>
                </c:pt>
                <c:pt idx="271">
                  <c:v>22.5833333333333</c:v>
                </c:pt>
                <c:pt idx="272">
                  <c:v>22.6666666666667</c:v>
                </c:pt>
                <c:pt idx="273">
                  <c:v>22.75</c:v>
                </c:pt>
                <c:pt idx="274">
                  <c:v>22.8333333333333</c:v>
                </c:pt>
                <c:pt idx="275">
                  <c:v>22.9166666666667</c:v>
                </c:pt>
                <c:pt idx="276">
                  <c:v>23</c:v>
                </c:pt>
                <c:pt idx="277">
                  <c:v>23.0833333333333</c:v>
                </c:pt>
                <c:pt idx="278">
                  <c:v>23.1666666666667</c:v>
                </c:pt>
                <c:pt idx="279">
                  <c:v>23.25</c:v>
                </c:pt>
                <c:pt idx="280">
                  <c:v>23.3333333333333</c:v>
                </c:pt>
                <c:pt idx="281">
                  <c:v>23.4166666666667</c:v>
                </c:pt>
                <c:pt idx="282">
                  <c:v>23.5</c:v>
                </c:pt>
                <c:pt idx="283">
                  <c:v>23.5833333333333</c:v>
                </c:pt>
                <c:pt idx="284">
                  <c:v>23.6666666666667</c:v>
                </c:pt>
                <c:pt idx="285">
                  <c:v>23.75</c:v>
                </c:pt>
                <c:pt idx="286">
                  <c:v>23.8333333333333</c:v>
                </c:pt>
                <c:pt idx="287">
                  <c:v>23.9166666666667</c:v>
                </c:pt>
                <c:pt idx="288">
                  <c:v>24</c:v>
                </c:pt>
                <c:pt idx="289">
                  <c:v>24.0833333333333</c:v>
                </c:pt>
                <c:pt idx="290">
                  <c:v>24.1666666666667</c:v>
                </c:pt>
                <c:pt idx="291">
                  <c:v>24.25</c:v>
                </c:pt>
                <c:pt idx="292">
                  <c:v>24.3333333333333</c:v>
                </c:pt>
                <c:pt idx="293">
                  <c:v>24.4166666666667</c:v>
                </c:pt>
                <c:pt idx="294">
                  <c:v>24.5</c:v>
                </c:pt>
                <c:pt idx="295">
                  <c:v>24.5833333333333</c:v>
                </c:pt>
                <c:pt idx="296">
                  <c:v>24.6666666666667</c:v>
                </c:pt>
                <c:pt idx="297">
                  <c:v>24.75</c:v>
                </c:pt>
                <c:pt idx="298">
                  <c:v>24.8333333333333</c:v>
                </c:pt>
                <c:pt idx="299">
                  <c:v>24.9166666666667</c:v>
                </c:pt>
                <c:pt idx="300">
                  <c:v>25</c:v>
                </c:pt>
                <c:pt idx="301">
                  <c:v>25.0833333333333</c:v>
                </c:pt>
                <c:pt idx="302">
                  <c:v>25.1666666666667</c:v>
                </c:pt>
                <c:pt idx="303">
                  <c:v>25.25</c:v>
                </c:pt>
                <c:pt idx="304">
                  <c:v>25.3333333333333</c:v>
                </c:pt>
                <c:pt idx="305">
                  <c:v>25.4166666666667</c:v>
                </c:pt>
                <c:pt idx="306">
                  <c:v>25.5</c:v>
                </c:pt>
                <c:pt idx="307">
                  <c:v>25.5833333333333</c:v>
                </c:pt>
                <c:pt idx="308">
                  <c:v>25.6666666666667</c:v>
                </c:pt>
                <c:pt idx="309">
                  <c:v>25.75</c:v>
                </c:pt>
                <c:pt idx="310">
                  <c:v>25.8333333333333</c:v>
                </c:pt>
                <c:pt idx="311">
                  <c:v>25.9166666666667</c:v>
                </c:pt>
                <c:pt idx="312">
                  <c:v>26</c:v>
                </c:pt>
                <c:pt idx="313">
                  <c:v>26.0833333333333</c:v>
                </c:pt>
                <c:pt idx="314">
                  <c:v>26.1666666666667</c:v>
                </c:pt>
                <c:pt idx="315">
                  <c:v>26.25</c:v>
                </c:pt>
                <c:pt idx="316">
                  <c:v>26.3333333333333</c:v>
                </c:pt>
                <c:pt idx="317">
                  <c:v>26.4166666666667</c:v>
                </c:pt>
                <c:pt idx="318">
                  <c:v>26.5</c:v>
                </c:pt>
                <c:pt idx="319">
                  <c:v>26.5833333333333</c:v>
                </c:pt>
                <c:pt idx="320">
                  <c:v>26.6666666666667</c:v>
                </c:pt>
                <c:pt idx="321">
                  <c:v>26.75</c:v>
                </c:pt>
                <c:pt idx="322">
                  <c:v>26.8333333333333</c:v>
                </c:pt>
                <c:pt idx="323">
                  <c:v>26.9166666666667</c:v>
                </c:pt>
                <c:pt idx="324">
                  <c:v>27</c:v>
                </c:pt>
                <c:pt idx="325">
                  <c:v>27.0833333333333</c:v>
                </c:pt>
                <c:pt idx="326">
                  <c:v>27.1666666666667</c:v>
                </c:pt>
                <c:pt idx="327">
                  <c:v>27.25</c:v>
                </c:pt>
                <c:pt idx="328">
                  <c:v>27.3333333333333</c:v>
                </c:pt>
                <c:pt idx="329">
                  <c:v>27.4166666666667</c:v>
                </c:pt>
                <c:pt idx="330">
                  <c:v>27.5</c:v>
                </c:pt>
                <c:pt idx="331">
                  <c:v>27.5833333333333</c:v>
                </c:pt>
                <c:pt idx="332">
                  <c:v>27.6666666666667</c:v>
                </c:pt>
                <c:pt idx="333">
                  <c:v>27.75</c:v>
                </c:pt>
                <c:pt idx="334">
                  <c:v>27.8333333333333</c:v>
                </c:pt>
                <c:pt idx="335">
                  <c:v>27.9166666666667</c:v>
                </c:pt>
                <c:pt idx="336">
                  <c:v>28</c:v>
                </c:pt>
                <c:pt idx="337">
                  <c:v>28.0833333333333</c:v>
                </c:pt>
                <c:pt idx="338">
                  <c:v>28.1666666666667</c:v>
                </c:pt>
                <c:pt idx="339">
                  <c:v>28.25</c:v>
                </c:pt>
                <c:pt idx="340">
                  <c:v>28.3333333333333</c:v>
                </c:pt>
                <c:pt idx="341">
                  <c:v>28.4166666666667</c:v>
                </c:pt>
                <c:pt idx="342">
                  <c:v>28.5</c:v>
                </c:pt>
                <c:pt idx="343">
                  <c:v>28.5833333333333</c:v>
                </c:pt>
                <c:pt idx="344">
                  <c:v>28.6666666666667</c:v>
                </c:pt>
                <c:pt idx="345">
                  <c:v>28.75</c:v>
                </c:pt>
                <c:pt idx="346">
                  <c:v>28.8333333333333</c:v>
                </c:pt>
                <c:pt idx="347">
                  <c:v>28.9166666666667</c:v>
                </c:pt>
                <c:pt idx="348">
                  <c:v>29</c:v>
                </c:pt>
                <c:pt idx="349">
                  <c:v>29.0833333333333</c:v>
                </c:pt>
                <c:pt idx="350">
                  <c:v>29.1666666666667</c:v>
                </c:pt>
                <c:pt idx="351">
                  <c:v>29.25</c:v>
                </c:pt>
                <c:pt idx="352">
                  <c:v>29.3333333333333</c:v>
                </c:pt>
                <c:pt idx="353">
                  <c:v>29.4166666666667</c:v>
                </c:pt>
                <c:pt idx="354">
                  <c:v>29.5</c:v>
                </c:pt>
                <c:pt idx="355">
                  <c:v>29.5833333333333</c:v>
                </c:pt>
                <c:pt idx="356">
                  <c:v>29.6666666666667</c:v>
                </c:pt>
                <c:pt idx="357">
                  <c:v>29.75</c:v>
                </c:pt>
                <c:pt idx="358">
                  <c:v>29.8333333333333</c:v>
                </c:pt>
                <c:pt idx="359">
                  <c:v>29.9166666666667</c:v>
                </c:pt>
                <c:pt idx="360">
                  <c:v>30</c:v>
                </c:pt>
              </c:numCache>
            </c:numRef>
          </c:cat>
          <c:val>
            <c:numRef>
              <c:f>Projecao!$E$2:$E$362</c:f>
              <c:numCache>
                <c:formatCode>"R$"\ #,##0</c:formatCode>
                <c:ptCount val="361"/>
                <c:pt idx="0">
                  <c:v>100</c:v>
                </c:pt>
                <c:pt idx="1">
                  <c:v>201.196986732394</c:v>
                </c:pt>
                <c:pt idx="2">
                  <c:v>303.605287969558</c:v>
                </c:pt>
                <c:pt idx="3">
                  <c:v>407.239402985401</c:v>
                </c:pt>
                <c:pt idx="4">
                  <c:v>512.114004608218</c:v>
                </c:pt>
                <c:pt idx="5">
                  <c:v>618.243941298111</c:v>
                </c:pt>
                <c:pt idx="6">
                  <c:v>725.64423924928</c:v>
                </c:pt>
                <c:pt idx="7">
                  <c:v>834.330104517477</c:v>
                </c:pt>
                <c:pt idx="8">
                  <c:v>944.316925172922</c:v>
                </c:pt>
                <c:pt idx="9">
                  <c:v>1055.620273479</c:v>
                </c:pt>
                <c:pt idx="10">
                  <c:v>1168.255908097</c:v>
                </c:pt>
                <c:pt idx="11">
                  <c:v>1282.23977631734</c:v>
                </c:pt>
                <c:pt idx="12">
                  <c:v>1397.58801631734</c:v>
                </c:pt>
                <c:pt idx="13">
                  <c:v>1397.58801631734</c:v>
                </c:pt>
                <c:pt idx="14">
                  <c:v>1397.58801631734</c:v>
                </c:pt>
                <c:pt idx="15">
                  <c:v>1397.58801631734</c:v>
                </c:pt>
                <c:pt idx="16">
                  <c:v>1397.58801631734</c:v>
                </c:pt>
                <c:pt idx="17">
                  <c:v>1397.58801631734</c:v>
                </c:pt>
                <c:pt idx="18">
                  <c:v>1397.58801631734</c:v>
                </c:pt>
                <c:pt idx="19">
                  <c:v>1397.58801631734</c:v>
                </c:pt>
                <c:pt idx="20">
                  <c:v>1397.58801631734</c:v>
                </c:pt>
                <c:pt idx="21">
                  <c:v>1397.58801631734</c:v>
                </c:pt>
                <c:pt idx="22">
                  <c:v>1397.58801631734</c:v>
                </c:pt>
                <c:pt idx="23">
                  <c:v>1397.58801631734</c:v>
                </c:pt>
                <c:pt idx="24">
                  <c:v>1397.58801631734</c:v>
                </c:pt>
                <c:pt idx="25">
                  <c:v>1397.58801631734</c:v>
                </c:pt>
                <c:pt idx="26">
                  <c:v>1397.58801631734</c:v>
                </c:pt>
                <c:pt idx="27">
                  <c:v>1397.58801631734</c:v>
                </c:pt>
                <c:pt idx="28">
                  <c:v>1397.58801631734</c:v>
                </c:pt>
                <c:pt idx="29">
                  <c:v>1397.58801631734</c:v>
                </c:pt>
                <c:pt idx="30">
                  <c:v>1397.58801631734</c:v>
                </c:pt>
                <c:pt idx="31">
                  <c:v>1397.58801631734</c:v>
                </c:pt>
                <c:pt idx="32">
                  <c:v>1397.58801631734</c:v>
                </c:pt>
                <c:pt idx="33">
                  <c:v>1397.58801631734</c:v>
                </c:pt>
                <c:pt idx="34">
                  <c:v>1397.58801631734</c:v>
                </c:pt>
                <c:pt idx="35">
                  <c:v>1397.58801631734</c:v>
                </c:pt>
                <c:pt idx="36">
                  <c:v>1397.58801631734</c:v>
                </c:pt>
                <c:pt idx="37">
                  <c:v>1397.58801631734</c:v>
                </c:pt>
                <c:pt idx="38">
                  <c:v>1397.58801631734</c:v>
                </c:pt>
                <c:pt idx="39">
                  <c:v>1397.58801631734</c:v>
                </c:pt>
                <c:pt idx="40">
                  <c:v>1397.58801631734</c:v>
                </c:pt>
                <c:pt idx="41">
                  <c:v>1397.58801631734</c:v>
                </c:pt>
                <c:pt idx="42">
                  <c:v>1397.58801631734</c:v>
                </c:pt>
                <c:pt idx="43">
                  <c:v>1397.58801631734</c:v>
                </c:pt>
                <c:pt idx="44">
                  <c:v>1397.58801631734</c:v>
                </c:pt>
                <c:pt idx="45">
                  <c:v>1397.58801631734</c:v>
                </c:pt>
                <c:pt idx="46">
                  <c:v>1397.58801631734</c:v>
                </c:pt>
                <c:pt idx="47">
                  <c:v>1397.58801631734</c:v>
                </c:pt>
                <c:pt idx="48">
                  <c:v>1397.58801631734</c:v>
                </c:pt>
                <c:pt idx="49">
                  <c:v>1397.58801631734</c:v>
                </c:pt>
                <c:pt idx="50">
                  <c:v>1397.58801631734</c:v>
                </c:pt>
                <c:pt idx="51">
                  <c:v>1397.58801631734</c:v>
                </c:pt>
                <c:pt idx="52">
                  <c:v>1397.58801631734</c:v>
                </c:pt>
                <c:pt idx="53">
                  <c:v>1397.58801631734</c:v>
                </c:pt>
                <c:pt idx="54">
                  <c:v>1397.58801631734</c:v>
                </c:pt>
                <c:pt idx="55">
                  <c:v>1397.58801631734</c:v>
                </c:pt>
                <c:pt idx="56">
                  <c:v>1397.58801631734</c:v>
                </c:pt>
                <c:pt idx="57">
                  <c:v>1397.58801631734</c:v>
                </c:pt>
                <c:pt idx="58">
                  <c:v>1397.58801631734</c:v>
                </c:pt>
                <c:pt idx="59">
                  <c:v>1397.58801631734</c:v>
                </c:pt>
                <c:pt idx="60">
                  <c:v>1397.58801631734</c:v>
                </c:pt>
                <c:pt idx="61">
                  <c:v>1397.58801631734</c:v>
                </c:pt>
                <c:pt idx="62">
                  <c:v>1397.58801631734</c:v>
                </c:pt>
                <c:pt idx="63">
                  <c:v>1397.58801631734</c:v>
                </c:pt>
                <c:pt idx="64">
                  <c:v>1397.58801631734</c:v>
                </c:pt>
                <c:pt idx="65">
                  <c:v>1397.58801631734</c:v>
                </c:pt>
                <c:pt idx="66">
                  <c:v>1397.58801631734</c:v>
                </c:pt>
                <c:pt idx="67">
                  <c:v>1397.58801631734</c:v>
                </c:pt>
                <c:pt idx="68">
                  <c:v>1397.58801631734</c:v>
                </c:pt>
                <c:pt idx="69">
                  <c:v>1397.58801631734</c:v>
                </c:pt>
                <c:pt idx="70">
                  <c:v>1397.58801631734</c:v>
                </c:pt>
                <c:pt idx="71">
                  <c:v>1397.58801631734</c:v>
                </c:pt>
                <c:pt idx="72">
                  <c:v>1397.58801631734</c:v>
                </c:pt>
                <c:pt idx="73">
                  <c:v>1397.58801631734</c:v>
                </c:pt>
                <c:pt idx="74">
                  <c:v>1397.58801631734</c:v>
                </c:pt>
                <c:pt idx="75">
                  <c:v>1397.58801631734</c:v>
                </c:pt>
                <c:pt idx="76">
                  <c:v>1397.58801631734</c:v>
                </c:pt>
                <c:pt idx="77">
                  <c:v>1397.58801631734</c:v>
                </c:pt>
                <c:pt idx="78">
                  <c:v>1397.58801631734</c:v>
                </c:pt>
                <c:pt idx="79">
                  <c:v>1397.58801631734</c:v>
                </c:pt>
                <c:pt idx="80">
                  <c:v>1397.58801631734</c:v>
                </c:pt>
                <c:pt idx="81">
                  <c:v>1397.58801631734</c:v>
                </c:pt>
                <c:pt idx="82">
                  <c:v>1397.58801631734</c:v>
                </c:pt>
                <c:pt idx="83">
                  <c:v>1397.58801631734</c:v>
                </c:pt>
                <c:pt idx="84">
                  <c:v>1397.58801631734</c:v>
                </c:pt>
                <c:pt idx="85">
                  <c:v>1397.58801631734</c:v>
                </c:pt>
                <c:pt idx="86">
                  <c:v>1397.58801631734</c:v>
                </c:pt>
                <c:pt idx="87">
                  <c:v>1397.58801631734</c:v>
                </c:pt>
                <c:pt idx="88">
                  <c:v>1397.58801631734</c:v>
                </c:pt>
                <c:pt idx="89">
                  <c:v>1397.58801631734</c:v>
                </c:pt>
                <c:pt idx="90">
                  <c:v>1397.58801631734</c:v>
                </c:pt>
                <c:pt idx="91">
                  <c:v>1397.58801631734</c:v>
                </c:pt>
                <c:pt idx="92">
                  <c:v>1397.58801631734</c:v>
                </c:pt>
                <c:pt idx="93">
                  <c:v>1397.58801631734</c:v>
                </c:pt>
                <c:pt idx="94">
                  <c:v>1397.58801631734</c:v>
                </c:pt>
                <c:pt idx="95">
                  <c:v>1397.58801631734</c:v>
                </c:pt>
                <c:pt idx="96">
                  <c:v>1397.58801631734</c:v>
                </c:pt>
                <c:pt idx="97">
                  <c:v>1397.58801631734</c:v>
                </c:pt>
                <c:pt idx="98">
                  <c:v>1397.58801631734</c:v>
                </c:pt>
                <c:pt idx="99">
                  <c:v>1397.58801631734</c:v>
                </c:pt>
                <c:pt idx="100">
                  <c:v>1397.58801631734</c:v>
                </c:pt>
                <c:pt idx="101">
                  <c:v>1397.58801631734</c:v>
                </c:pt>
                <c:pt idx="102">
                  <c:v>1397.58801631734</c:v>
                </c:pt>
                <c:pt idx="103">
                  <c:v>1397.58801631734</c:v>
                </c:pt>
                <c:pt idx="104">
                  <c:v>1397.58801631734</c:v>
                </c:pt>
                <c:pt idx="105">
                  <c:v>1397.58801631734</c:v>
                </c:pt>
                <c:pt idx="106">
                  <c:v>1397.58801631734</c:v>
                </c:pt>
                <c:pt idx="107">
                  <c:v>1397.58801631734</c:v>
                </c:pt>
                <c:pt idx="108">
                  <c:v>1397.58801631734</c:v>
                </c:pt>
                <c:pt idx="109">
                  <c:v>1397.58801631734</c:v>
                </c:pt>
                <c:pt idx="110">
                  <c:v>1397.58801631734</c:v>
                </c:pt>
                <c:pt idx="111">
                  <c:v>1397.58801631734</c:v>
                </c:pt>
                <c:pt idx="112">
                  <c:v>1397.58801631734</c:v>
                </c:pt>
                <c:pt idx="113">
                  <c:v>1397.58801631734</c:v>
                </c:pt>
                <c:pt idx="114">
                  <c:v>1397.58801631734</c:v>
                </c:pt>
                <c:pt idx="115">
                  <c:v>1397.58801631734</c:v>
                </c:pt>
                <c:pt idx="116">
                  <c:v>1397.58801631734</c:v>
                </c:pt>
                <c:pt idx="117">
                  <c:v>1397.58801631734</c:v>
                </c:pt>
                <c:pt idx="118">
                  <c:v>1397.58801631734</c:v>
                </c:pt>
                <c:pt idx="119">
                  <c:v>1397.58801631734</c:v>
                </c:pt>
                <c:pt idx="120">
                  <c:v>1397.58801631734</c:v>
                </c:pt>
                <c:pt idx="121">
                  <c:v>1397.58801631734</c:v>
                </c:pt>
                <c:pt idx="122">
                  <c:v>1397.58801631734</c:v>
                </c:pt>
                <c:pt idx="123">
                  <c:v>1397.58801631734</c:v>
                </c:pt>
                <c:pt idx="124">
                  <c:v>1397.58801631734</c:v>
                </c:pt>
                <c:pt idx="125">
                  <c:v>1397.58801631734</c:v>
                </c:pt>
                <c:pt idx="126">
                  <c:v>1397.58801631734</c:v>
                </c:pt>
                <c:pt idx="127">
                  <c:v>1397.58801631734</c:v>
                </c:pt>
                <c:pt idx="128">
                  <c:v>1397.58801631734</c:v>
                </c:pt>
                <c:pt idx="129">
                  <c:v>1397.58801631734</c:v>
                </c:pt>
                <c:pt idx="130">
                  <c:v>1397.58801631734</c:v>
                </c:pt>
                <c:pt idx="131">
                  <c:v>1397.58801631734</c:v>
                </c:pt>
                <c:pt idx="132">
                  <c:v>1397.58801631734</c:v>
                </c:pt>
                <c:pt idx="133">
                  <c:v>1397.58801631734</c:v>
                </c:pt>
                <c:pt idx="134">
                  <c:v>1397.58801631734</c:v>
                </c:pt>
                <c:pt idx="135">
                  <c:v>1397.58801631734</c:v>
                </c:pt>
                <c:pt idx="136">
                  <c:v>1397.58801631734</c:v>
                </c:pt>
                <c:pt idx="137">
                  <c:v>1397.58801631734</c:v>
                </c:pt>
                <c:pt idx="138">
                  <c:v>1397.58801631734</c:v>
                </c:pt>
                <c:pt idx="139">
                  <c:v>1397.58801631734</c:v>
                </c:pt>
                <c:pt idx="140">
                  <c:v>1397.58801631734</c:v>
                </c:pt>
                <c:pt idx="141">
                  <c:v>1397.58801631734</c:v>
                </c:pt>
                <c:pt idx="142">
                  <c:v>1397.58801631734</c:v>
                </c:pt>
                <c:pt idx="143">
                  <c:v>1397.58801631734</c:v>
                </c:pt>
                <c:pt idx="144">
                  <c:v>1397.58801631734</c:v>
                </c:pt>
                <c:pt idx="145">
                  <c:v>1397.58801631734</c:v>
                </c:pt>
                <c:pt idx="146">
                  <c:v>1397.58801631734</c:v>
                </c:pt>
                <c:pt idx="147">
                  <c:v>1397.58801631734</c:v>
                </c:pt>
                <c:pt idx="148">
                  <c:v>1397.58801631734</c:v>
                </c:pt>
                <c:pt idx="149">
                  <c:v>1397.58801631734</c:v>
                </c:pt>
                <c:pt idx="150">
                  <c:v>1397.58801631734</c:v>
                </c:pt>
                <c:pt idx="151">
                  <c:v>1397.58801631734</c:v>
                </c:pt>
                <c:pt idx="152">
                  <c:v>1397.58801631734</c:v>
                </c:pt>
                <c:pt idx="153">
                  <c:v>1397.58801631734</c:v>
                </c:pt>
                <c:pt idx="154">
                  <c:v>1397.58801631734</c:v>
                </c:pt>
                <c:pt idx="155">
                  <c:v>1397.58801631734</c:v>
                </c:pt>
                <c:pt idx="156">
                  <c:v>1397.58801631734</c:v>
                </c:pt>
                <c:pt idx="157">
                  <c:v>1397.58801631734</c:v>
                </c:pt>
                <c:pt idx="158">
                  <c:v>1397.58801631734</c:v>
                </c:pt>
                <c:pt idx="159">
                  <c:v>1397.58801631734</c:v>
                </c:pt>
                <c:pt idx="160">
                  <c:v>1397.58801631734</c:v>
                </c:pt>
                <c:pt idx="161">
                  <c:v>1397.58801631734</c:v>
                </c:pt>
                <c:pt idx="162">
                  <c:v>1397.58801631734</c:v>
                </c:pt>
                <c:pt idx="163">
                  <c:v>1397.58801631734</c:v>
                </c:pt>
                <c:pt idx="164">
                  <c:v>1397.58801631734</c:v>
                </c:pt>
                <c:pt idx="165">
                  <c:v>1397.58801631734</c:v>
                </c:pt>
                <c:pt idx="166">
                  <c:v>1397.58801631734</c:v>
                </c:pt>
                <c:pt idx="167">
                  <c:v>1397.58801631734</c:v>
                </c:pt>
                <c:pt idx="168">
                  <c:v>1397.58801631734</c:v>
                </c:pt>
                <c:pt idx="169">
                  <c:v>1397.58801631734</c:v>
                </c:pt>
                <c:pt idx="170">
                  <c:v>1397.58801631734</c:v>
                </c:pt>
                <c:pt idx="171">
                  <c:v>1397.58801631734</c:v>
                </c:pt>
                <c:pt idx="172">
                  <c:v>1397.58801631734</c:v>
                </c:pt>
                <c:pt idx="173">
                  <c:v>1397.58801631734</c:v>
                </c:pt>
                <c:pt idx="174">
                  <c:v>1397.58801631734</c:v>
                </c:pt>
                <c:pt idx="175">
                  <c:v>1397.58801631734</c:v>
                </c:pt>
                <c:pt idx="176">
                  <c:v>1397.58801631734</c:v>
                </c:pt>
                <c:pt idx="177">
                  <c:v>1397.58801631734</c:v>
                </c:pt>
                <c:pt idx="178">
                  <c:v>1397.58801631734</c:v>
                </c:pt>
                <c:pt idx="179">
                  <c:v>1397.58801631734</c:v>
                </c:pt>
                <c:pt idx="180">
                  <c:v>1397.58801631734</c:v>
                </c:pt>
                <c:pt idx="181">
                  <c:v>1397.58801631734</c:v>
                </c:pt>
                <c:pt idx="182">
                  <c:v>1397.58801631734</c:v>
                </c:pt>
                <c:pt idx="183">
                  <c:v>1397.58801631734</c:v>
                </c:pt>
                <c:pt idx="184">
                  <c:v>1397.58801631734</c:v>
                </c:pt>
                <c:pt idx="185">
                  <c:v>1397.58801631734</c:v>
                </c:pt>
                <c:pt idx="186">
                  <c:v>1397.58801631734</c:v>
                </c:pt>
                <c:pt idx="187">
                  <c:v>1397.58801631734</c:v>
                </c:pt>
                <c:pt idx="188">
                  <c:v>1397.58801631734</c:v>
                </c:pt>
                <c:pt idx="189">
                  <c:v>1397.58801631734</c:v>
                </c:pt>
                <c:pt idx="190">
                  <c:v>1397.58801631734</c:v>
                </c:pt>
                <c:pt idx="191">
                  <c:v>1397.58801631734</c:v>
                </c:pt>
                <c:pt idx="192">
                  <c:v>1397.58801631734</c:v>
                </c:pt>
                <c:pt idx="193">
                  <c:v>1397.58801631734</c:v>
                </c:pt>
                <c:pt idx="194">
                  <c:v>1397.58801631734</c:v>
                </c:pt>
                <c:pt idx="195">
                  <c:v>1397.58801631734</c:v>
                </c:pt>
                <c:pt idx="196">
                  <c:v>1397.58801631734</c:v>
                </c:pt>
                <c:pt idx="197">
                  <c:v>1397.58801631734</c:v>
                </c:pt>
                <c:pt idx="198">
                  <c:v>1397.58801631734</c:v>
                </c:pt>
                <c:pt idx="199">
                  <c:v>1397.58801631734</c:v>
                </c:pt>
                <c:pt idx="200">
                  <c:v>1397.58801631734</c:v>
                </c:pt>
                <c:pt idx="201">
                  <c:v>1397.58801631734</c:v>
                </c:pt>
                <c:pt idx="202">
                  <c:v>1397.58801631734</c:v>
                </c:pt>
                <c:pt idx="203">
                  <c:v>1397.58801631734</c:v>
                </c:pt>
                <c:pt idx="204">
                  <c:v>1397.58801631734</c:v>
                </c:pt>
                <c:pt idx="205">
                  <c:v>1397.58801631734</c:v>
                </c:pt>
                <c:pt idx="206">
                  <c:v>1397.58801631734</c:v>
                </c:pt>
                <c:pt idx="207">
                  <c:v>1397.58801631734</c:v>
                </c:pt>
                <c:pt idx="208">
                  <c:v>1397.58801631734</c:v>
                </c:pt>
                <c:pt idx="209">
                  <c:v>1397.58801631734</c:v>
                </c:pt>
                <c:pt idx="210">
                  <c:v>1397.58801631734</c:v>
                </c:pt>
                <c:pt idx="211">
                  <c:v>1397.58801631734</c:v>
                </c:pt>
                <c:pt idx="212">
                  <c:v>1397.58801631734</c:v>
                </c:pt>
                <c:pt idx="213">
                  <c:v>1397.58801631734</c:v>
                </c:pt>
                <c:pt idx="214">
                  <c:v>1397.58801631734</c:v>
                </c:pt>
                <c:pt idx="215">
                  <c:v>1397.58801631734</c:v>
                </c:pt>
                <c:pt idx="216">
                  <c:v>1397.58801631734</c:v>
                </c:pt>
                <c:pt idx="217">
                  <c:v>1397.58801631734</c:v>
                </c:pt>
                <c:pt idx="218">
                  <c:v>1397.58801631734</c:v>
                </c:pt>
                <c:pt idx="219">
                  <c:v>1397.58801631734</c:v>
                </c:pt>
                <c:pt idx="220">
                  <c:v>1397.58801631734</c:v>
                </c:pt>
                <c:pt idx="221">
                  <c:v>1397.58801631734</c:v>
                </c:pt>
                <c:pt idx="222">
                  <c:v>1397.58801631734</c:v>
                </c:pt>
                <c:pt idx="223">
                  <c:v>1397.58801631734</c:v>
                </c:pt>
                <c:pt idx="224">
                  <c:v>1397.58801631734</c:v>
                </c:pt>
                <c:pt idx="225">
                  <c:v>1397.58801631734</c:v>
                </c:pt>
                <c:pt idx="226">
                  <c:v>1397.58801631734</c:v>
                </c:pt>
                <c:pt idx="227">
                  <c:v>1397.58801631734</c:v>
                </c:pt>
                <c:pt idx="228">
                  <c:v>1397.58801631734</c:v>
                </c:pt>
                <c:pt idx="229">
                  <c:v>1397.58801631734</c:v>
                </c:pt>
                <c:pt idx="230">
                  <c:v>1397.58801631734</c:v>
                </c:pt>
                <c:pt idx="231">
                  <c:v>1397.58801631734</c:v>
                </c:pt>
                <c:pt idx="232">
                  <c:v>1397.58801631734</c:v>
                </c:pt>
                <c:pt idx="233">
                  <c:v>1397.58801631734</c:v>
                </c:pt>
                <c:pt idx="234">
                  <c:v>1397.58801631734</c:v>
                </c:pt>
                <c:pt idx="235">
                  <c:v>1397.58801631734</c:v>
                </c:pt>
                <c:pt idx="236">
                  <c:v>1397.58801631734</c:v>
                </c:pt>
                <c:pt idx="237">
                  <c:v>1397.58801631734</c:v>
                </c:pt>
                <c:pt idx="238">
                  <c:v>1397.58801631734</c:v>
                </c:pt>
                <c:pt idx="239">
                  <c:v>1397.58801631734</c:v>
                </c:pt>
                <c:pt idx="240">
                  <c:v>1397.58801631734</c:v>
                </c:pt>
                <c:pt idx="241">
                  <c:v>1397.58801631734</c:v>
                </c:pt>
                <c:pt idx="242">
                  <c:v>1397.58801631734</c:v>
                </c:pt>
                <c:pt idx="243">
                  <c:v>1397.58801631734</c:v>
                </c:pt>
                <c:pt idx="244">
                  <c:v>1397.58801631734</c:v>
                </c:pt>
                <c:pt idx="245">
                  <c:v>1397.58801631734</c:v>
                </c:pt>
                <c:pt idx="246">
                  <c:v>1397.58801631734</c:v>
                </c:pt>
                <c:pt idx="247">
                  <c:v>1397.58801631734</c:v>
                </c:pt>
                <c:pt idx="248">
                  <c:v>1397.58801631734</c:v>
                </c:pt>
                <c:pt idx="249">
                  <c:v>1397.58801631734</c:v>
                </c:pt>
                <c:pt idx="250">
                  <c:v>1397.58801631734</c:v>
                </c:pt>
                <c:pt idx="251">
                  <c:v>1397.58801631734</c:v>
                </c:pt>
                <c:pt idx="252">
                  <c:v>1397.58801631734</c:v>
                </c:pt>
                <c:pt idx="253">
                  <c:v>1397.58801631734</c:v>
                </c:pt>
                <c:pt idx="254">
                  <c:v>1397.58801631734</c:v>
                </c:pt>
                <c:pt idx="255">
                  <c:v>1397.58801631734</c:v>
                </c:pt>
                <c:pt idx="256">
                  <c:v>1397.58801631734</c:v>
                </c:pt>
                <c:pt idx="257">
                  <c:v>1397.58801631734</c:v>
                </c:pt>
                <c:pt idx="258">
                  <c:v>1397.58801631734</c:v>
                </c:pt>
                <c:pt idx="259">
                  <c:v>1397.58801631734</c:v>
                </c:pt>
                <c:pt idx="260">
                  <c:v>1397.58801631734</c:v>
                </c:pt>
                <c:pt idx="261">
                  <c:v>1397.58801631734</c:v>
                </c:pt>
                <c:pt idx="262">
                  <c:v>1397.58801631734</c:v>
                </c:pt>
                <c:pt idx="263">
                  <c:v>1397.58801631734</c:v>
                </c:pt>
                <c:pt idx="264">
                  <c:v>1397.58801631734</c:v>
                </c:pt>
                <c:pt idx="265">
                  <c:v>1397.58801631734</c:v>
                </c:pt>
                <c:pt idx="266">
                  <c:v>1397.58801631734</c:v>
                </c:pt>
                <c:pt idx="267">
                  <c:v>1397.58801631734</c:v>
                </c:pt>
                <c:pt idx="268">
                  <c:v>1397.58801631734</c:v>
                </c:pt>
                <c:pt idx="269">
                  <c:v>1397.58801631734</c:v>
                </c:pt>
                <c:pt idx="270">
                  <c:v>1397.58801631734</c:v>
                </c:pt>
                <c:pt idx="271">
                  <c:v>1397.58801631734</c:v>
                </c:pt>
                <c:pt idx="272">
                  <c:v>1397.58801631734</c:v>
                </c:pt>
                <c:pt idx="273">
                  <c:v>1397.58801631734</c:v>
                </c:pt>
                <c:pt idx="274">
                  <c:v>1397.58801631734</c:v>
                </c:pt>
                <c:pt idx="275">
                  <c:v>1397.58801631734</c:v>
                </c:pt>
                <c:pt idx="276">
                  <c:v>1397.58801631734</c:v>
                </c:pt>
                <c:pt idx="277">
                  <c:v>1397.58801631734</c:v>
                </c:pt>
                <c:pt idx="278">
                  <c:v>1397.58801631734</c:v>
                </c:pt>
                <c:pt idx="279">
                  <c:v>1397.58801631734</c:v>
                </c:pt>
                <c:pt idx="280">
                  <c:v>1397.58801631734</c:v>
                </c:pt>
                <c:pt idx="281">
                  <c:v>1397.58801631734</c:v>
                </c:pt>
                <c:pt idx="282">
                  <c:v>1397.58801631734</c:v>
                </c:pt>
                <c:pt idx="283">
                  <c:v>1397.58801631734</c:v>
                </c:pt>
                <c:pt idx="284">
                  <c:v>1397.58801631734</c:v>
                </c:pt>
                <c:pt idx="285">
                  <c:v>1397.58801631734</c:v>
                </c:pt>
                <c:pt idx="286">
                  <c:v>1397.58801631734</c:v>
                </c:pt>
                <c:pt idx="287">
                  <c:v>1397.58801631734</c:v>
                </c:pt>
                <c:pt idx="288">
                  <c:v>1397.58801631734</c:v>
                </c:pt>
                <c:pt idx="289">
                  <c:v>1397.58801631734</c:v>
                </c:pt>
                <c:pt idx="290">
                  <c:v>1397.58801631734</c:v>
                </c:pt>
                <c:pt idx="291">
                  <c:v>1397.58801631734</c:v>
                </c:pt>
                <c:pt idx="292">
                  <c:v>1397.58801631734</c:v>
                </c:pt>
                <c:pt idx="293">
                  <c:v>1397.58801631734</c:v>
                </c:pt>
                <c:pt idx="294">
                  <c:v>1397.58801631734</c:v>
                </c:pt>
                <c:pt idx="295">
                  <c:v>1397.58801631734</c:v>
                </c:pt>
                <c:pt idx="296">
                  <c:v>1397.58801631734</c:v>
                </c:pt>
                <c:pt idx="297">
                  <c:v>1397.58801631734</c:v>
                </c:pt>
                <c:pt idx="298">
                  <c:v>1397.58801631734</c:v>
                </c:pt>
                <c:pt idx="299">
                  <c:v>1397.58801631734</c:v>
                </c:pt>
                <c:pt idx="300">
                  <c:v>1397.58801631734</c:v>
                </c:pt>
                <c:pt idx="301">
                  <c:v>1397.58801631734</c:v>
                </c:pt>
                <c:pt idx="302">
                  <c:v>1397.58801631734</c:v>
                </c:pt>
                <c:pt idx="303">
                  <c:v>1397.58801631734</c:v>
                </c:pt>
                <c:pt idx="304">
                  <c:v>1397.58801631734</c:v>
                </c:pt>
                <c:pt idx="305">
                  <c:v>1397.58801631734</c:v>
                </c:pt>
                <c:pt idx="306">
                  <c:v>1397.58801631734</c:v>
                </c:pt>
                <c:pt idx="307">
                  <c:v>1397.58801631734</c:v>
                </c:pt>
                <c:pt idx="308">
                  <c:v>1397.58801631734</c:v>
                </c:pt>
                <c:pt idx="309">
                  <c:v>1397.58801631734</c:v>
                </c:pt>
                <c:pt idx="310">
                  <c:v>1397.58801631734</c:v>
                </c:pt>
                <c:pt idx="311">
                  <c:v>1397.58801631734</c:v>
                </c:pt>
                <c:pt idx="312">
                  <c:v>1397.58801631734</c:v>
                </c:pt>
                <c:pt idx="313">
                  <c:v>1397.58801631734</c:v>
                </c:pt>
                <c:pt idx="314">
                  <c:v>1397.58801631734</c:v>
                </c:pt>
                <c:pt idx="315">
                  <c:v>1397.58801631734</c:v>
                </c:pt>
                <c:pt idx="316">
                  <c:v>1397.58801631734</c:v>
                </c:pt>
                <c:pt idx="317">
                  <c:v>1397.58801631734</c:v>
                </c:pt>
                <c:pt idx="318">
                  <c:v>1397.58801631734</c:v>
                </c:pt>
                <c:pt idx="319">
                  <c:v>1397.58801631734</c:v>
                </c:pt>
                <c:pt idx="320">
                  <c:v>1397.58801631734</c:v>
                </c:pt>
                <c:pt idx="321">
                  <c:v>1397.58801631734</c:v>
                </c:pt>
                <c:pt idx="322">
                  <c:v>1397.58801631734</c:v>
                </c:pt>
                <c:pt idx="323">
                  <c:v>1397.58801631734</c:v>
                </c:pt>
                <c:pt idx="324">
                  <c:v>1397.58801631734</c:v>
                </c:pt>
                <c:pt idx="325">
                  <c:v>1397.58801631734</c:v>
                </c:pt>
                <c:pt idx="326">
                  <c:v>1397.58801631734</c:v>
                </c:pt>
                <c:pt idx="327">
                  <c:v>1397.58801631734</c:v>
                </c:pt>
                <c:pt idx="328">
                  <c:v>1397.58801631734</c:v>
                </c:pt>
                <c:pt idx="329">
                  <c:v>1397.58801631734</c:v>
                </c:pt>
                <c:pt idx="330">
                  <c:v>1397.58801631734</c:v>
                </c:pt>
                <c:pt idx="331">
                  <c:v>1397.58801631734</c:v>
                </c:pt>
                <c:pt idx="332">
                  <c:v>1397.58801631734</c:v>
                </c:pt>
                <c:pt idx="333">
                  <c:v>1397.58801631734</c:v>
                </c:pt>
                <c:pt idx="334">
                  <c:v>1397.58801631734</c:v>
                </c:pt>
                <c:pt idx="335">
                  <c:v>1397.58801631734</c:v>
                </c:pt>
                <c:pt idx="336">
                  <c:v>1397.58801631734</c:v>
                </c:pt>
                <c:pt idx="337">
                  <c:v>1397.58801631734</c:v>
                </c:pt>
                <c:pt idx="338">
                  <c:v>1397.58801631734</c:v>
                </c:pt>
                <c:pt idx="339">
                  <c:v>1397.58801631734</c:v>
                </c:pt>
                <c:pt idx="340">
                  <c:v>1397.58801631734</c:v>
                </c:pt>
                <c:pt idx="341">
                  <c:v>1397.58801631734</c:v>
                </c:pt>
                <c:pt idx="342">
                  <c:v>1397.58801631734</c:v>
                </c:pt>
                <c:pt idx="343">
                  <c:v>1397.58801631734</c:v>
                </c:pt>
                <c:pt idx="344">
                  <c:v>1397.58801631734</c:v>
                </c:pt>
                <c:pt idx="345">
                  <c:v>1397.58801631734</c:v>
                </c:pt>
                <c:pt idx="346">
                  <c:v>1397.58801631734</c:v>
                </c:pt>
                <c:pt idx="347">
                  <c:v>1397.58801631734</c:v>
                </c:pt>
                <c:pt idx="348">
                  <c:v>1397.58801631734</c:v>
                </c:pt>
                <c:pt idx="349">
                  <c:v>1397.58801631734</c:v>
                </c:pt>
                <c:pt idx="350">
                  <c:v>1397.58801631734</c:v>
                </c:pt>
                <c:pt idx="351">
                  <c:v>1397.58801631734</c:v>
                </c:pt>
                <c:pt idx="352">
                  <c:v>1397.58801631734</c:v>
                </c:pt>
                <c:pt idx="353">
                  <c:v>1397.58801631734</c:v>
                </c:pt>
                <c:pt idx="354">
                  <c:v>1397.58801631734</c:v>
                </c:pt>
                <c:pt idx="355">
                  <c:v>1397.58801631734</c:v>
                </c:pt>
                <c:pt idx="356">
                  <c:v>1397.58801631734</c:v>
                </c:pt>
                <c:pt idx="357">
                  <c:v>1397.58801631734</c:v>
                </c:pt>
                <c:pt idx="358">
                  <c:v>1397.58801631734</c:v>
                </c:pt>
                <c:pt idx="359">
                  <c:v>1397.58801631734</c:v>
                </c:pt>
                <c:pt idx="360">
                  <c:v>1397.58801631734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Projecao!$D$1</c:f>
              <c:strCache>
                <c:ptCount val="1"/>
                <c:pt idx="0">
                  <c:v>Saldo — Cenário Esperado</c:v>
                </c:pt>
              </c:strCache>
            </c:strRef>
          </c:tx>
          <c:spPr>
            <a:ln w="28575" cap="rnd" cmpd="sng" algn="ctr">
              <a:solidFill>
                <a:schemeClr val="accent2">
                  <a:shade val="95000"/>
                  <a:satMod val="105000"/>
                </a:schemeClr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numRef>
              <c:f>Projecao!$B$2:$B$362</c:f>
              <c:numCache>
                <c:formatCode>General</c:formatCode>
                <c:ptCount val="361"/>
                <c:pt idx="0">
                  <c:v>0</c:v>
                </c:pt>
                <c:pt idx="1">
                  <c:v>0.0833333333333333</c:v>
                </c:pt>
                <c:pt idx="2">
                  <c:v>0.166666666666667</c:v>
                </c:pt>
                <c:pt idx="3">
                  <c:v>0.25</c:v>
                </c:pt>
                <c:pt idx="4">
                  <c:v>0.333333333333333</c:v>
                </c:pt>
                <c:pt idx="5">
                  <c:v>0.416666666666667</c:v>
                </c:pt>
                <c:pt idx="6">
                  <c:v>0.5</c:v>
                </c:pt>
                <c:pt idx="7">
                  <c:v>0.583333333333333</c:v>
                </c:pt>
                <c:pt idx="8">
                  <c:v>0.666666666666667</c:v>
                </c:pt>
                <c:pt idx="9">
                  <c:v>0.75</c:v>
                </c:pt>
                <c:pt idx="10">
                  <c:v>0.833333333333333</c:v>
                </c:pt>
                <c:pt idx="11">
                  <c:v>0.916666666666667</c:v>
                </c:pt>
                <c:pt idx="12">
                  <c:v>1</c:v>
                </c:pt>
                <c:pt idx="13">
                  <c:v>1.08333333333333</c:v>
                </c:pt>
                <c:pt idx="14">
                  <c:v>1.16666666666667</c:v>
                </c:pt>
                <c:pt idx="15">
                  <c:v>1.25</c:v>
                </c:pt>
                <c:pt idx="16">
                  <c:v>1.33333333333333</c:v>
                </c:pt>
                <c:pt idx="17">
                  <c:v>1.41666666666667</c:v>
                </c:pt>
                <c:pt idx="18">
                  <c:v>1.5</c:v>
                </c:pt>
                <c:pt idx="19">
                  <c:v>1.58333333333333</c:v>
                </c:pt>
                <c:pt idx="20">
                  <c:v>1.66666666666667</c:v>
                </c:pt>
                <c:pt idx="21">
                  <c:v>1.75</c:v>
                </c:pt>
                <c:pt idx="22">
                  <c:v>1.83333333333333</c:v>
                </c:pt>
                <c:pt idx="23">
                  <c:v>1.91666666666667</c:v>
                </c:pt>
                <c:pt idx="24">
                  <c:v>2</c:v>
                </c:pt>
                <c:pt idx="25">
                  <c:v>2.08333333333333</c:v>
                </c:pt>
                <c:pt idx="26">
                  <c:v>2.16666666666667</c:v>
                </c:pt>
                <c:pt idx="27">
                  <c:v>2.25</c:v>
                </c:pt>
                <c:pt idx="28">
                  <c:v>2.33333333333333</c:v>
                </c:pt>
                <c:pt idx="29">
                  <c:v>2.41666666666667</c:v>
                </c:pt>
                <c:pt idx="30">
                  <c:v>2.5</c:v>
                </c:pt>
                <c:pt idx="31">
                  <c:v>2.58333333333333</c:v>
                </c:pt>
                <c:pt idx="32">
                  <c:v>2.66666666666667</c:v>
                </c:pt>
                <c:pt idx="33">
                  <c:v>2.75</c:v>
                </c:pt>
                <c:pt idx="34">
                  <c:v>2.83333333333333</c:v>
                </c:pt>
                <c:pt idx="35">
                  <c:v>2.91666666666667</c:v>
                </c:pt>
                <c:pt idx="36">
                  <c:v>3</c:v>
                </c:pt>
                <c:pt idx="37">
                  <c:v>3.08333333333333</c:v>
                </c:pt>
                <c:pt idx="38">
                  <c:v>3.16666666666667</c:v>
                </c:pt>
                <c:pt idx="39">
                  <c:v>3.25</c:v>
                </c:pt>
                <c:pt idx="40">
                  <c:v>3.33333333333333</c:v>
                </c:pt>
                <c:pt idx="41">
                  <c:v>3.41666666666667</c:v>
                </c:pt>
                <c:pt idx="42">
                  <c:v>3.5</c:v>
                </c:pt>
                <c:pt idx="43">
                  <c:v>3.58333333333333</c:v>
                </c:pt>
                <c:pt idx="44">
                  <c:v>3.66666666666667</c:v>
                </c:pt>
                <c:pt idx="45">
                  <c:v>3.75</c:v>
                </c:pt>
                <c:pt idx="46">
                  <c:v>3.83333333333333</c:v>
                </c:pt>
                <c:pt idx="47">
                  <c:v>3.91666666666667</c:v>
                </c:pt>
                <c:pt idx="48">
                  <c:v>4</c:v>
                </c:pt>
                <c:pt idx="49">
                  <c:v>4.08333333333333</c:v>
                </c:pt>
                <c:pt idx="50">
                  <c:v>4.16666666666667</c:v>
                </c:pt>
                <c:pt idx="51">
                  <c:v>4.25</c:v>
                </c:pt>
                <c:pt idx="52">
                  <c:v>4.33333333333333</c:v>
                </c:pt>
                <c:pt idx="53">
                  <c:v>4.41666666666667</c:v>
                </c:pt>
                <c:pt idx="54">
                  <c:v>4.5</c:v>
                </c:pt>
                <c:pt idx="55">
                  <c:v>4.58333333333333</c:v>
                </c:pt>
                <c:pt idx="56">
                  <c:v>4.66666666666667</c:v>
                </c:pt>
                <c:pt idx="57">
                  <c:v>4.75</c:v>
                </c:pt>
                <c:pt idx="58">
                  <c:v>4.83333333333333</c:v>
                </c:pt>
                <c:pt idx="59">
                  <c:v>4.91666666666667</c:v>
                </c:pt>
                <c:pt idx="60">
                  <c:v>5</c:v>
                </c:pt>
                <c:pt idx="61">
                  <c:v>5.08333333333333</c:v>
                </c:pt>
                <c:pt idx="62">
                  <c:v>5.16666666666667</c:v>
                </c:pt>
                <c:pt idx="63">
                  <c:v>5.25</c:v>
                </c:pt>
                <c:pt idx="64">
                  <c:v>5.33333333333333</c:v>
                </c:pt>
                <c:pt idx="65">
                  <c:v>5.41666666666667</c:v>
                </c:pt>
                <c:pt idx="66">
                  <c:v>5.5</c:v>
                </c:pt>
                <c:pt idx="67">
                  <c:v>5.58333333333333</c:v>
                </c:pt>
                <c:pt idx="68">
                  <c:v>5.66666666666667</c:v>
                </c:pt>
                <c:pt idx="69">
                  <c:v>5.75</c:v>
                </c:pt>
                <c:pt idx="70">
                  <c:v>5.83333333333333</c:v>
                </c:pt>
                <c:pt idx="71">
                  <c:v>5.91666666666667</c:v>
                </c:pt>
                <c:pt idx="72">
                  <c:v>6</c:v>
                </c:pt>
                <c:pt idx="73">
                  <c:v>6.08333333333333</c:v>
                </c:pt>
                <c:pt idx="74">
                  <c:v>6.16666666666667</c:v>
                </c:pt>
                <c:pt idx="75">
                  <c:v>6.25</c:v>
                </c:pt>
                <c:pt idx="76">
                  <c:v>6.33333333333333</c:v>
                </c:pt>
                <c:pt idx="77">
                  <c:v>6.41666666666667</c:v>
                </c:pt>
                <c:pt idx="78">
                  <c:v>6.5</c:v>
                </c:pt>
                <c:pt idx="79">
                  <c:v>6.58333333333333</c:v>
                </c:pt>
                <c:pt idx="80">
                  <c:v>6.66666666666667</c:v>
                </c:pt>
                <c:pt idx="81">
                  <c:v>6.75</c:v>
                </c:pt>
                <c:pt idx="82">
                  <c:v>6.83333333333333</c:v>
                </c:pt>
                <c:pt idx="83">
                  <c:v>6.91666666666667</c:v>
                </c:pt>
                <c:pt idx="84">
                  <c:v>7</c:v>
                </c:pt>
                <c:pt idx="85">
                  <c:v>7.08333333333333</c:v>
                </c:pt>
                <c:pt idx="86">
                  <c:v>7.16666666666667</c:v>
                </c:pt>
                <c:pt idx="87">
                  <c:v>7.25</c:v>
                </c:pt>
                <c:pt idx="88">
                  <c:v>7.33333333333333</c:v>
                </c:pt>
                <c:pt idx="89">
                  <c:v>7.41666666666667</c:v>
                </c:pt>
                <c:pt idx="90">
                  <c:v>7.5</c:v>
                </c:pt>
                <c:pt idx="91">
                  <c:v>7.58333333333333</c:v>
                </c:pt>
                <c:pt idx="92">
                  <c:v>7.66666666666667</c:v>
                </c:pt>
                <c:pt idx="93">
                  <c:v>7.75</c:v>
                </c:pt>
                <c:pt idx="94">
                  <c:v>7.83333333333333</c:v>
                </c:pt>
                <c:pt idx="95">
                  <c:v>7.91666666666667</c:v>
                </c:pt>
                <c:pt idx="96">
                  <c:v>8</c:v>
                </c:pt>
                <c:pt idx="97">
                  <c:v>8.08333333333333</c:v>
                </c:pt>
                <c:pt idx="98">
                  <c:v>8.16666666666667</c:v>
                </c:pt>
                <c:pt idx="99">
                  <c:v>8.25</c:v>
                </c:pt>
                <c:pt idx="100">
                  <c:v>8.33333333333333</c:v>
                </c:pt>
                <c:pt idx="101">
                  <c:v>8.41666666666667</c:v>
                </c:pt>
                <c:pt idx="102">
                  <c:v>8.5</c:v>
                </c:pt>
                <c:pt idx="103">
                  <c:v>8.58333333333333</c:v>
                </c:pt>
                <c:pt idx="104">
                  <c:v>8.66666666666667</c:v>
                </c:pt>
                <c:pt idx="105">
                  <c:v>8.75</c:v>
                </c:pt>
                <c:pt idx="106">
                  <c:v>8.83333333333333</c:v>
                </c:pt>
                <c:pt idx="107">
                  <c:v>8.91666666666667</c:v>
                </c:pt>
                <c:pt idx="108">
                  <c:v>9</c:v>
                </c:pt>
                <c:pt idx="109">
                  <c:v>9.08333333333333</c:v>
                </c:pt>
                <c:pt idx="110">
                  <c:v>9.16666666666667</c:v>
                </c:pt>
                <c:pt idx="111">
                  <c:v>9.25</c:v>
                </c:pt>
                <c:pt idx="112">
                  <c:v>9.33333333333333</c:v>
                </c:pt>
                <c:pt idx="113">
                  <c:v>9.41666666666667</c:v>
                </c:pt>
                <c:pt idx="114">
                  <c:v>9.5</c:v>
                </c:pt>
                <c:pt idx="115">
                  <c:v>9.58333333333333</c:v>
                </c:pt>
                <c:pt idx="116">
                  <c:v>9.66666666666667</c:v>
                </c:pt>
                <c:pt idx="117">
                  <c:v>9.75</c:v>
                </c:pt>
                <c:pt idx="118">
                  <c:v>9.83333333333333</c:v>
                </c:pt>
                <c:pt idx="119">
                  <c:v>9.91666666666667</c:v>
                </c:pt>
                <c:pt idx="120">
                  <c:v>10</c:v>
                </c:pt>
                <c:pt idx="121">
                  <c:v>10.0833333333333</c:v>
                </c:pt>
                <c:pt idx="122">
                  <c:v>10.1666666666667</c:v>
                </c:pt>
                <c:pt idx="123">
                  <c:v>10.25</c:v>
                </c:pt>
                <c:pt idx="124">
                  <c:v>10.3333333333333</c:v>
                </c:pt>
                <c:pt idx="125">
                  <c:v>10.4166666666667</c:v>
                </c:pt>
                <c:pt idx="126">
                  <c:v>10.5</c:v>
                </c:pt>
                <c:pt idx="127">
                  <c:v>10.5833333333333</c:v>
                </c:pt>
                <c:pt idx="128">
                  <c:v>10.6666666666667</c:v>
                </c:pt>
                <c:pt idx="129">
                  <c:v>10.75</c:v>
                </c:pt>
                <c:pt idx="130">
                  <c:v>10.8333333333333</c:v>
                </c:pt>
                <c:pt idx="131">
                  <c:v>10.9166666666667</c:v>
                </c:pt>
                <c:pt idx="132">
                  <c:v>11</c:v>
                </c:pt>
                <c:pt idx="133">
                  <c:v>11.0833333333333</c:v>
                </c:pt>
                <c:pt idx="134">
                  <c:v>11.1666666666667</c:v>
                </c:pt>
                <c:pt idx="135">
                  <c:v>11.25</c:v>
                </c:pt>
                <c:pt idx="136">
                  <c:v>11.3333333333333</c:v>
                </c:pt>
                <c:pt idx="137">
                  <c:v>11.4166666666667</c:v>
                </c:pt>
                <c:pt idx="138">
                  <c:v>11.5</c:v>
                </c:pt>
                <c:pt idx="139">
                  <c:v>11.5833333333333</c:v>
                </c:pt>
                <c:pt idx="140">
                  <c:v>11.6666666666667</c:v>
                </c:pt>
                <c:pt idx="141">
                  <c:v>11.75</c:v>
                </c:pt>
                <c:pt idx="142">
                  <c:v>11.8333333333333</c:v>
                </c:pt>
                <c:pt idx="143">
                  <c:v>11.9166666666667</c:v>
                </c:pt>
                <c:pt idx="144">
                  <c:v>12</c:v>
                </c:pt>
                <c:pt idx="145">
                  <c:v>12.0833333333333</c:v>
                </c:pt>
                <c:pt idx="146">
                  <c:v>12.1666666666667</c:v>
                </c:pt>
                <c:pt idx="147">
                  <c:v>12.25</c:v>
                </c:pt>
                <c:pt idx="148">
                  <c:v>12.3333333333333</c:v>
                </c:pt>
                <c:pt idx="149">
                  <c:v>12.4166666666667</c:v>
                </c:pt>
                <c:pt idx="150">
                  <c:v>12.5</c:v>
                </c:pt>
                <c:pt idx="151">
                  <c:v>12.5833333333333</c:v>
                </c:pt>
                <c:pt idx="152">
                  <c:v>12.6666666666667</c:v>
                </c:pt>
                <c:pt idx="153">
                  <c:v>12.75</c:v>
                </c:pt>
                <c:pt idx="154">
                  <c:v>12.8333333333333</c:v>
                </c:pt>
                <c:pt idx="155">
                  <c:v>12.9166666666667</c:v>
                </c:pt>
                <c:pt idx="156">
                  <c:v>13</c:v>
                </c:pt>
                <c:pt idx="157">
                  <c:v>13.0833333333333</c:v>
                </c:pt>
                <c:pt idx="158">
                  <c:v>13.1666666666667</c:v>
                </c:pt>
                <c:pt idx="159">
                  <c:v>13.25</c:v>
                </c:pt>
                <c:pt idx="160">
                  <c:v>13.3333333333333</c:v>
                </c:pt>
                <c:pt idx="161">
                  <c:v>13.4166666666667</c:v>
                </c:pt>
                <c:pt idx="162">
                  <c:v>13.5</c:v>
                </c:pt>
                <c:pt idx="163">
                  <c:v>13.5833333333333</c:v>
                </c:pt>
                <c:pt idx="164">
                  <c:v>13.6666666666667</c:v>
                </c:pt>
                <c:pt idx="165">
                  <c:v>13.75</c:v>
                </c:pt>
                <c:pt idx="166">
                  <c:v>13.8333333333333</c:v>
                </c:pt>
                <c:pt idx="167">
                  <c:v>13.9166666666667</c:v>
                </c:pt>
                <c:pt idx="168">
                  <c:v>14</c:v>
                </c:pt>
                <c:pt idx="169">
                  <c:v>14.0833333333333</c:v>
                </c:pt>
                <c:pt idx="170">
                  <c:v>14.1666666666667</c:v>
                </c:pt>
                <c:pt idx="171">
                  <c:v>14.25</c:v>
                </c:pt>
                <c:pt idx="172">
                  <c:v>14.3333333333333</c:v>
                </c:pt>
                <c:pt idx="173">
                  <c:v>14.4166666666667</c:v>
                </c:pt>
                <c:pt idx="174">
                  <c:v>14.5</c:v>
                </c:pt>
                <c:pt idx="175">
                  <c:v>14.5833333333333</c:v>
                </c:pt>
                <c:pt idx="176">
                  <c:v>14.6666666666667</c:v>
                </c:pt>
                <c:pt idx="177">
                  <c:v>14.75</c:v>
                </c:pt>
                <c:pt idx="178">
                  <c:v>14.8333333333333</c:v>
                </c:pt>
                <c:pt idx="179">
                  <c:v>14.9166666666667</c:v>
                </c:pt>
                <c:pt idx="180">
                  <c:v>15</c:v>
                </c:pt>
                <c:pt idx="181">
                  <c:v>15.0833333333333</c:v>
                </c:pt>
                <c:pt idx="182">
                  <c:v>15.1666666666667</c:v>
                </c:pt>
                <c:pt idx="183">
                  <c:v>15.25</c:v>
                </c:pt>
                <c:pt idx="184">
                  <c:v>15.3333333333333</c:v>
                </c:pt>
                <c:pt idx="185">
                  <c:v>15.4166666666667</c:v>
                </c:pt>
                <c:pt idx="186">
                  <c:v>15.5</c:v>
                </c:pt>
                <c:pt idx="187">
                  <c:v>15.5833333333333</c:v>
                </c:pt>
                <c:pt idx="188">
                  <c:v>15.6666666666667</c:v>
                </c:pt>
                <c:pt idx="189">
                  <c:v>15.75</c:v>
                </c:pt>
                <c:pt idx="190">
                  <c:v>15.8333333333333</c:v>
                </c:pt>
                <c:pt idx="191">
                  <c:v>15.9166666666667</c:v>
                </c:pt>
                <c:pt idx="192">
                  <c:v>16</c:v>
                </c:pt>
                <c:pt idx="193">
                  <c:v>16.0833333333333</c:v>
                </c:pt>
                <c:pt idx="194">
                  <c:v>16.1666666666667</c:v>
                </c:pt>
                <c:pt idx="195">
                  <c:v>16.25</c:v>
                </c:pt>
                <c:pt idx="196">
                  <c:v>16.3333333333333</c:v>
                </c:pt>
                <c:pt idx="197">
                  <c:v>16.4166666666667</c:v>
                </c:pt>
                <c:pt idx="198">
                  <c:v>16.5</c:v>
                </c:pt>
                <c:pt idx="199">
                  <c:v>16.5833333333333</c:v>
                </c:pt>
                <c:pt idx="200">
                  <c:v>16.6666666666667</c:v>
                </c:pt>
                <c:pt idx="201">
                  <c:v>16.75</c:v>
                </c:pt>
                <c:pt idx="202">
                  <c:v>16.8333333333333</c:v>
                </c:pt>
                <c:pt idx="203">
                  <c:v>16.9166666666667</c:v>
                </c:pt>
                <c:pt idx="204">
                  <c:v>17</c:v>
                </c:pt>
                <c:pt idx="205">
                  <c:v>17.0833333333333</c:v>
                </c:pt>
                <c:pt idx="206">
                  <c:v>17.1666666666667</c:v>
                </c:pt>
                <c:pt idx="207">
                  <c:v>17.25</c:v>
                </c:pt>
                <c:pt idx="208">
                  <c:v>17.3333333333333</c:v>
                </c:pt>
                <c:pt idx="209">
                  <c:v>17.4166666666667</c:v>
                </c:pt>
                <c:pt idx="210">
                  <c:v>17.5</c:v>
                </c:pt>
                <c:pt idx="211">
                  <c:v>17.5833333333333</c:v>
                </c:pt>
                <c:pt idx="212">
                  <c:v>17.6666666666667</c:v>
                </c:pt>
                <c:pt idx="213">
                  <c:v>17.75</c:v>
                </c:pt>
                <c:pt idx="214">
                  <c:v>17.8333333333333</c:v>
                </c:pt>
                <c:pt idx="215">
                  <c:v>17.9166666666667</c:v>
                </c:pt>
                <c:pt idx="216">
                  <c:v>18</c:v>
                </c:pt>
                <c:pt idx="217">
                  <c:v>18.0833333333333</c:v>
                </c:pt>
                <c:pt idx="218">
                  <c:v>18.1666666666667</c:v>
                </c:pt>
                <c:pt idx="219">
                  <c:v>18.25</c:v>
                </c:pt>
                <c:pt idx="220">
                  <c:v>18.3333333333333</c:v>
                </c:pt>
                <c:pt idx="221">
                  <c:v>18.4166666666667</c:v>
                </c:pt>
                <c:pt idx="222">
                  <c:v>18.5</c:v>
                </c:pt>
                <c:pt idx="223">
                  <c:v>18.5833333333333</c:v>
                </c:pt>
                <c:pt idx="224">
                  <c:v>18.6666666666667</c:v>
                </c:pt>
                <c:pt idx="225">
                  <c:v>18.75</c:v>
                </c:pt>
                <c:pt idx="226">
                  <c:v>18.8333333333333</c:v>
                </c:pt>
                <c:pt idx="227">
                  <c:v>18.9166666666667</c:v>
                </c:pt>
                <c:pt idx="228">
                  <c:v>19</c:v>
                </c:pt>
                <c:pt idx="229">
                  <c:v>19.0833333333333</c:v>
                </c:pt>
                <c:pt idx="230">
                  <c:v>19.1666666666667</c:v>
                </c:pt>
                <c:pt idx="231">
                  <c:v>19.25</c:v>
                </c:pt>
                <c:pt idx="232">
                  <c:v>19.3333333333333</c:v>
                </c:pt>
                <c:pt idx="233">
                  <c:v>19.4166666666667</c:v>
                </c:pt>
                <c:pt idx="234">
                  <c:v>19.5</c:v>
                </c:pt>
                <c:pt idx="235">
                  <c:v>19.5833333333333</c:v>
                </c:pt>
                <c:pt idx="236">
                  <c:v>19.6666666666667</c:v>
                </c:pt>
                <c:pt idx="237">
                  <c:v>19.75</c:v>
                </c:pt>
                <c:pt idx="238">
                  <c:v>19.8333333333333</c:v>
                </c:pt>
                <c:pt idx="239">
                  <c:v>19.9166666666667</c:v>
                </c:pt>
                <c:pt idx="240">
                  <c:v>20</c:v>
                </c:pt>
                <c:pt idx="241">
                  <c:v>20.0833333333333</c:v>
                </c:pt>
                <c:pt idx="242">
                  <c:v>20.1666666666667</c:v>
                </c:pt>
                <c:pt idx="243">
                  <c:v>20.25</c:v>
                </c:pt>
                <c:pt idx="244">
                  <c:v>20.3333333333333</c:v>
                </c:pt>
                <c:pt idx="245">
                  <c:v>20.4166666666667</c:v>
                </c:pt>
                <c:pt idx="246">
                  <c:v>20.5</c:v>
                </c:pt>
                <c:pt idx="247">
                  <c:v>20.5833333333333</c:v>
                </c:pt>
                <c:pt idx="248">
                  <c:v>20.6666666666667</c:v>
                </c:pt>
                <c:pt idx="249">
                  <c:v>20.75</c:v>
                </c:pt>
                <c:pt idx="250">
                  <c:v>20.8333333333333</c:v>
                </c:pt>
                <c:pt idx="251">
                  <c:v>20.9166666666667</c:v>
                </c:pt>
                <c:pt idx="252">
                  <c:v>21</c:v>
                </c:pt>
                <c:pt idx="253">
                  <c:v>21.0833333333333</c:v>
                </c:pt>
                <c:pt idx="254">
                  <c:v>21.1666666666667</c:v>
                </c:pt>
                <c:pt idx="255">
                  <c:v>21.25</c:v>
                </c:pt>
                <c:pt idx="256">
                  <c:v>21.3333333333333</c:v>
                </c:pt>
                <c:pt idx="257">
                  <c:v>21.4166666666667</c:v>
                </c:pt>
                <c:pt idx="258">
                  <c:v>21.5</c:v>
                </c:pt>
                <c:pt idx="259">
                  <c:v>21.5833333333333</c:v>
                </c:pt>
                <c:pt idx="260">
                  <c:v>21.6666666666667</c:v>
                </c:pt>
                <c:pt idx="261">
                  <c:v>21.75</c:v>
                </c:pt>
                <c:pt idx="262">
                  <c:v>21.8333333333333</c:v>
                </c:pt>
                <c:pt idx="263">
                  <c:v>21.9166666666667</c:v>
                </c:pt>
                <c:pt idx="264">
                  <c:v>22</c:v>
                </c:pt>
                <c:pt idx="265">
                  <c:v>22.0833333333333</c:v>
                </c:pt>
                <c:pt idx="266">
                  <c:v>22.1666666666667</c:v>
                </c:pt>
                <c:pt idx="267">
                  <c:v>22.25</c:v>
                </c:pt>
                <c:pt idx="268">
                  <c:v>22.3333333333333</c:v>
                </c:pt>
                <c:pt idx="269">
                  <c:v>22.4166666666667</c:v>
                </c:pt>
                <c:pt idx="270">
                  <c:v>22.5</c:v>
                </c:pt>
                <c:pt idx="271">
                  <c:v>22.5833333333333</c:v>
                </c:pt>
                <c:pt idx="272">
                  <c:v>22.6666666666667</c:v>
                </c:pt>
                <c:pt idx="273">
                  <c:v>22.75</c:v>
                </c:pt>
                <c:pt idx="274">
                  <c:v>22.8333333333333</c:v>
                </c:pt>
                <c:pt idx="275">
                  <c:v>22.9166666666667</c:v>
                </c:pt>
                <c:pt idx="276">
                  <c:v>23</c:v>
                </c:pt>
                <c:pt idx="277">
                  <c:v>23.0833333333333</c:v>
                </c:pt>
                <c:pt idx="278">
                  <c:v>23.1666666666667</c:v>
                </c:pt>
                <c:pt idx="279">
                  <c:v>23.25</c:v>
                </c:pt>
                <c:pt idx="280">
                  <c:v>23.3333333333333</c:v>
                </c:pt>
                <c:pt idx="281">
                  <c:v>23.4166666666667</c:v>
                </c:pt>
                <c:pt idx="282">
                  <c:v>23.5</c:v>
                </c:pt>
                <c:pt idx="283">
                  <c:v>23.5833333333333</c:v>
                </c:pt>
                <c:pt idx="284">
                  <c:v>23.6666666666667</c:v>
                </c:pt>
                <c:pt idx="285">
                  <c:v>23.75</c:v>
                </c:pt>
                <c:pt idx="286">
                  <c:v>23.8333333333333</c:v>
                </c:pt>
                <c:pt idx="287">
                  <c:v>23.9166666666667</c:v>
                </c:pt>
                <c:pt idx="288">
                  <c:v>24</c:v>
                </c:pt>
                <c:pt idx="289">
                  <c:v>24.0833333333333</c:v>
                </c:pt>
                <c:pt idx="290">
                  <c:v>24.1666666666667</c:v>
                </c:pt>
                <c:pt idx="291">
                  <c:v>24.25</c:v>
                </c:pt>
                <c:pt idx="292">
                  <c:v>24.3333333333333</c:v>
                </c:pt>
                <c:pt idx="293">
                  <c:v>24.4166666666667</c:v>
                </c:pt>
                <c:pt idx="294">
                  <c:v>24.5</c:v>
                </c:pt>
                <c:pt idx="295">
                  <c:v>24.5833333333333</c:v>
                </c:pt>
                <c:pt idx="296">
                  <c:v>24.6666666666667</c:v>
                </c:pt>
                <c:pt idx="297">
                  <c:v>24.75</c:v>
                </c:pt>
                <c:pt idx="298">
                  <c:v>24.8333333333333</c:v>
                </c:pt>
                <c:pt idx="299">
                  <c:v>24.9166666666667</c:v>
                </c:pt>
                <c:pt idx="300">
                  <c:v>25</c:v>
                </c:pt>
                <c:pt idx="301">
                  <c:v>25.0833333333333</c:v>
                </c:pt>
                <c:pt idx="302">
                  <c:v>25.1666666666667</c:v>
                </c:pt>
                <c:pt idx="303">
                  <c:v>25.25</c:v>
                </c:pt>
                <c:pt idx="304">
                  <c:v>25.3333333333333</c:v>
                </c:pt>
                <c:pt idx="305">
                  <c:v>25.4166666666667</c:v>
                </c:pt>
                <c:pt idx="306">
                  <c:v>25.5</c:v>
                </c:pt>
                <c:pt idx="307">
                  <c:v>25.5833333333333</c:v>
                </c:pt>
                <c:pt idx="308">
                  <c:v>25.6666666666667</c:v>
                </c:pt>
                <c:pt idx="309">
                  <c:v>25.75</c:v>
                </c:pt>
                <c:pt idx="310">
                  <c:v>25.8333333333333</c:v>
                </c:pt>
                <c:pt idx="311">
                  <c:v>25.9166666666667</c:v>
                </c:pt>
                <c:pt idx="312">
                  <c:v>26</c:v>
                </c:pt>
                <c:pt idx="313">
                  <c:v>26.0833333333333</c:v>
                </c:pt>
                <c:pt idx="314">
                  <c:v>26.1666666666667</c:v>
                </c:pt>
                <c:pt idx="315">
                  <c:v>26.25</c:v>
                </c:pt>
                <c:pt idx="316">
                  <c:v>26.3333333333333</c:v>
                </c:pt>
                <c:pt idx="317">
                  <c:v>26.4166666666667</c:v>
                </c:pt>
                <c:pt idx="318">
                  <c:v>26.5</c:v>
                </c:pt>
                <c:pt idx="319">
                  <c:v>26.5833333333333</c:v>
                </c:pt>
                <c:pt idx="320">
                  <c:v>26.6666666666667</c:v>
                </c:pt>
                <c:pt idx="321">
                  <c:v>26.75</c:v>
                </c:pt>
                <c:pt idx="322">
                  <c:v>26.8333333333333</c:v>
                </c:pt>
                <c:pt idx="323">
                  <c:v>26.9166666666667</c:v>
                </c:pt>
                <c:pt idx="324">
                  <c:v>27</c:v>
                </c:pt>
                <c:pt idx="325">
                  <c:v>27.0833333333333</c:v>
                </c:pt>
                <c:pt idx="326">
                  <c:v>27.1666666666667</c:v>
                </c:pt>
                <c:pt idx="327">
                  <c:v>27.25</c:v>
                </c:pt>
                <c:pt idx="328">
                  <c:v>27.3333333333333</c:v>
                </c:pt>
                <c:pt idx="329">
                  <c:v>27.4166666666667</c:v>
                </c:pt>
                <c:pt idx="330">
                  <c:v>27.5</c:v>
                </c:pt>
                <c:pt idx="331">
                  <c:v>27.5833333333333</c:v>
                </c:pt>
                <c:pt idx="332">
                  <c:v>27.6666666666667</c:v>
                </c:pt>
                <c:pt idx="333">
                  <c:v>27.75</c:v>
                </c:pt>
                <c:pt idx="334">
                  <c:v>27.8333333333333</c:v>
                </c:pt>
                <c:pt idx="335">
                  <c:v>27.9166666666667</c:v>
                </c:pt>
                <c:pt idx="336">
                  <c:v>28</c:v>
                </c:pt>
                <c:pt idx="337">
                  <c:v>28.0833333333333</c:v>
                </c:pt>
                <c:pt idx="338">
                  <c:v>28.1666666666667</c:v>
                </c:pt>
                <c:pt idx="339">
                  <c:v>28.25</c:v>
                </c:pt>
                <c:pt idx="340">
                  <c:v>28.3333333333333</c:v>
                </c:pt>
                <c:pt idx="341">
                  <c:v>28.4166666666667</c:v>
                </c:pt>
                <c:pt idx="342">
                  <c:v>28.5</c:v>
                </c:pt>
                <c:pt idx="343">
                  <c:v>28.5833333333333</c:v>
                </c:pt>
                <c:pt idx="344">
                  <c:v>28.6666666666667</c:v>
                </c:pt>
                <c:pt idx="345">
                  <c:v>28.75</c:v>
                </c:pt>
                <c:pt idx="346">
                  <c:v>28.8333333333333</c:v>
                </c:pt>
                <c:pt idx="347">
                  <c:v>28.9166666666667</c:v>
                </c:pt>
                <c:pt idx="348">
                  <c:v>29</c:v>
                </c:pt>
                <c:pt idx="349">
                  <c:v>29.0833333333333</c:v>
                </c:pt>
                <c:pt idx="350">
                  <c:v>29.1666666666667</c:v>
                </c:pt>
                <c:pt idx="351">
                  <c:v>29.25</c:v>
                </c:pt>
                <c:pt idx="352">
                  <c:v>29.3333333333333</c:v>
                </c:pt>
                <c:pt idx="353">
                  <c:v>29.4166666666667</c:v>
                </c:pt>
                <c:pt idx="354">
                  <c:v>29.5</c:v>
                </c:pt>
                <c:pt idx="355">
                  <c:v>29.5833333333333</c:v>
                </c:pt>
                <c:pt idx="356">
                  <c:v>29.6666666666667</c:v>
                </c:pt>
                <c:pt idx="357">
                  <c:v>29.75</c:v>
                </c:pt>
                <c:pt idx="358">
                  <c:v>29.8333333333333</c:v>
                </c:pt>
                <c:pt idx="359">
                  <c:v>29.9166666666667</c:v>
                </c:pt>
                <c:pt idx="360">
                  <c:v>30</c:v>
                </c:pt>
              </c:numCache>
            </c:numRef>
          </c:cat>
          <c:val>
            <c:numRef>
              <c:f>Projecao!$D$2:$D$362</c:f>
              <c:numCache>
                <c:formatCode>"R$"\ #,##0</c:formatCode>
                <c:ptCount val="361"/>
                <c:pt idx="0">
                  <c:v>100</c:v>
                </c:pt>
                <c:pt idx="1">
                  <c:v>200.824101732723</c:v>
                </c:pt>
                <c:pt idx="2">
                  <c:v>302.479096634828</c:v>
                </c:pt>
                <c:pt idx="3">
                  <c:v>404.971832111321</c:v>
                </c:pt>
                <c:pt idx="4">
                  <c:v>508.309211996791</c:v>
                </c:pt>
                <c:pt idx="5">
                  <c:v>612.498197020448</c:v>
                </c:pt>
                <c:pt idx="6">
                  <c:v>717.545805274991</c:v>
                </c:pt>
                <c:pt idx="7">
                  <c:v>823.459112689344</c:v>
                </c:pt>
                <c:pt idx="8">
                  <c:v>930.245253505283</c:v>
                </c:pt>
                <c:pt idx="9">
                  <c:v>1037.911420758</c:v>
                </c:pt>
                <c:pt idx="10">
                  <c:v>1146.46486676059</c:v>
                </c:pt>
                <c:pt idx="11">
                  <c:v>1255.91290359263</c:v>
                </c:pt>
                <c:pt idx="12">
                  <c:v>1366.26290359263</c:v>
                </c:pt>
                <c:pt idx="13">
                  <c:v>1366.26290359263</c:v>
                </c:pt>
                <c:pt idx="14">
                  <c:v>1366.26290359263</c:v>
                </c:pt>
                <c:pt idx="15">
                  <c:v>1366.26290359263</c:v>
                </c:pt>
                <c:pt idx="16">
                  <c:v>1366.26290359263</c:v>
                </c:pt>
                <c:pt idx="17">
                  <c:v>1366.26290359263</c:v>
                </c:pt>
                <c:pt idx="18">
                  <c:v>1366.26290359263</c:v>
                </c:pt>
                <c:pt idx="19">
                  <c:v>1366.26290359263</c:v>
                </c:pt>
                <c:pt idx="20">
                  <c:v>1366.26290359263</c:v>
                </c:pt>
                <c:pt idx="21">
                  <c:v>1366.26290359263</c:v>
                </c:pt>
                <c:pt idx="22">
                  <c:v>1366.26290359263</c:v>
                </c:pt>
                <c:pt idx="23">
                  <c:v>1366.26290359263</c:v>
                </c:pt>
                <c:pt idx="24">
                  <c:v>1366.26290359263</c:v>
                </c:pt>
                <c:pt idx="25">
                  <c:v>1366.26290359263</c:v>
                </c:pt>
                <c:pt idx="26">
                  <c:v>1366.26290359263</c:v>
                </c:pt>
                <c:pt idx="27">
                  <c:v>1366.26290359263</c:v>
                </c:pt>
                <c:pt idx="28">
                  <c:v>1366.26290359263</c:v>
                </c:pt>
                <c:pt idx="29">
                  <c:v>1366.26290359263</c:v>
                </c:pt>
                <c:pt idx="30">
                  <c:v>1366.26290359263</c:v>
                </c:pt>
                <c:pt idx="31">
                  <c:v>1366.26290359263</c:v>
                </c:pt>
                <c:pt idx="32">
                  <c:v>1366.26290359263</c:v>
                </c:pt>
                <c:pt idx="33">
                  <c:v>1366.26290359263</c:v>
                </c:pt>
                <c:pt idx="34">
                  <c:v>1366.26290359263</c:v>
                </c:pt>
                <c:pt idx="35">
                  <c:v>1366.26290359263</c:v>
                </c:pt>
                <c:pt idx="36">
                  <c:v>1366.26290359263</c:v>
                </c:pt>
                <c:pt idx="37">
                  <c:v>1366.26290359263</c:v>
                </c:pt>
                <c:pt idx="38">
                  <c:v>1366.26290359263</c:v>
                </c:pt>
                <c:pt idx="39">
                  <c:v>1366.26290359263</c:v>
                </c:pt>
                <c:pt idx="40">
                  <c:v>1366.26290359263</c:v>
                </c:pt>
                <c:pt idx="41">
                  <c:v>1366.26290359263</c:v>
                </c:pt>
                <c:pt idx="42">
                  <c:v>1366.26290359263</c:v>
                </c:pt>
                <c:pt idx="43">
                  <c:v>1366.26290359263</c:v>
                </c:pt>
                <c:pt idx="44">
                  <c:v>1366.26290359263</c:v>
                </c:pt>
                <c:pt idx="45">
                  <c:v>1366.26290359263</c:v>
                </c:pt>
                <c:pt idx="46">
                  <c:v>1366.26290359263</c:v>
                </c:pt>
                <c:pt idx="47">
                  <c:v>1366.26290359263</c:v>
                </c:pt>
                <c:pt idx="48">
                  <c:v>1366.26290359263</c:v>
                </c:pt>
                <c:pt idx="49">
                  <c:v>1366.26290359263</c:v>
                </c:pt>
                <c:pt idx="50">
                  <c:v>1366.26290359263</c:v>
                </c:pt>
                <c:pt idx="51">
                  <c:v>1366.26290359263</c:v>
                </c:pt>
                <c:pt idx="52">
                  <c:v>1366.26290359263</c:v>
                </c:pt>
                <c:pt idx="53">
                  <c:v>1366.26290359263</c:v>
                </c:pt>
                <c:pt idx="54">
                  <c:v>1366.26290359263</c:v>
                </c:pt>
                <c:pt idx="55">
                  <c:v>1366.26290359263</c:v>
                </c:pt>
                <c:pt idx="56">
                  <c:v>1366.26290359263</c:v>
                </c:pt>
                <c:pt idx="57">
                  <c:v>1366.26290359263</c:v>
                </c:pt>
                <c:pt idx="58">
                  <c:v>1366.26290359263</c:v>
                </c:pt>
                <c:pt idx="59">
                  <c:v>1366.26290359263</c:v>
                </c:pt>
                <c:pt idx="60">
                  <c:v>1366.26290359263</c:v>
                </c:pt>
                <c:pt idx="61">
                  <c:v>1366.26290359263</c:v>
                </c:pt>
                <c:pt idx="62">
                  <c:v>1366.26290359263</c:v>
                </c:pt>
                <c:pt idx="63">
                  <c:v>1366.26290359263</c:v>
                </c:pt>
                <c:pt idx="64">
                  <c:v>1366.26290359263</c:v>
                </c:pt>
                <c:pt idx="65">
                  <c:v>1366.26290359263</c:v>
                </c:pt>
                <c:pt idx="66">
                  <c:v>1366.26290359263</c:v>
                </c:pt>
                <c:pt idx="67">
                  <c:v>1366.26290359263</c:v>
                </c:pt>
                <c:pt idx="68">
                  <c:v>1366.26290359263</c:v>
                </c:pt>
                <c:pt idx="69">
                  <c:v>1366.26290359263</c:v>
                </c:pt>
                <c:pt idx="70">
                  <c:v>1366.26290359263</c:v>
                </c:pt>
                <c:pt idx="71">
                  <c:v>1366.26290359263</c:v>
                </c:pt>
                <c:pt idx="72">
                  <c:v>1366.26290359263</c:v>
                </c:pt>
                <c:pt idx="73">
                  <c:v>1366.26290359263</c:v>
                </c:pt>
                <c:pt idx="74">
                  <c:v>1366.26290359263</c:v>
                </c:pt>
                <c:pt idx="75">
                  <c:v>1366.26290359263</c:v>
                </c:pt>
                <c:pt idx="76">
                  <c:v>1366.26290359263</c:v>
                </c:pt>
                <c:pt idx="77">
                  <c:v>1366.26290359263</c:v>
                </c:pt>
                <c:pt idx="78">
                  <c:v>1366.26290359263</c:v>
                </c:pt>
                <c:pt idx="79">
                  <c:v>1366.26290359263</c:v>
                </c:pt>
                <c:pt idx="80">
                  <c:v>1366.26290359263</c:v>
                </c:pt>
                <c:pt idx="81">
                  <c:v>1366.26290359263</c:v>
                </c:pt>
                <c:pt idx="82">
                  <c:v>1366.26290359263</c:v>
                </c:pt>
                <c:pt idx="83">
                  <c:v>1366.26290359263</c:v>
                </c:pt>
                <c:pt idx="84">
                  <c:v>1366.26290359263</c:v>
                </c:pt>
                <c:pt idx="85">
                  <c:v>1366.26290359263</c:v>
                </c:pt>
                <c:pt idx="86">
                  <c:v>1366.26290359263</c:v>
                </c:pt>
                <c:pt idx="87">
                  <c:v>1366.26290359263</c:v>
                </c:pt>
                <c:pt idx="88">
                  <c:v>1366.26290359263</c:v>
                </c:pt>
                <c:pt idx="89">
                  <c:v>1366.26290359263</c:v>
                </c:pt>
                <c:pt idx="90">
                  <c:v>1366.26290359263</c:v>
                </c:pt>
                <c:pt idx="91">
                  <c:v>1366.26290359263</c:v>
                </c:pt>
                <c:pt idx="92">
                  <c:v>1366.26290359263</c:v>
                </c:pt>
                <c:pt idx="93">
                  <c:v>1366.26290359263</c:v>
                </c:pt>
                <c:pt idx="94">
                  <c:v>1366.26290359263</c:v>
                </c:pt>
                <c:pt idx="95">
                  <c:v>1366.26290359263</c:v>
                </c:pt>
                <c:pt idx="96">
                  <c:v>1366.26290359263</c:v>
                </c:pt>
                <c:pt idx="97">
                  <c:v>1366.26290359263</c:v>
                </c:pt>
                <c:pt idx="98">
                  <c:v>1366.26290359263</c:v>
                </c:pt>
                <c:pt idx="99">
                  <c:v>1366.26290359263</c:v>
                </c:pt>
                <c:pt idx="100">
                  <c:v>1366.26290359263</c:v>
                </c:pt>
                <c:pt idx="101">
                  <c:v>1366.26290359263</c:v>
                </c:pt>
                <c:pt idx="102">
                  <c:v>1366.26290359263</c:v>
                </c:pt>
                <c:pt idx="103">
                  <c:v>1366.26290359263</c:v>
                </c:pt>
                <c:pt idx="104">
                  <c:v>1366.26290359263</c:v>
                </c:pt>
                <c:pt idx="105">
                  <c:v>1366.26290359263</c:v>
                </c:pt>
                <c:pt idx="106">
                  <c:v>1366.26290359263</c:v>
                </c:pt>
                <c:pt idx="107">
                  <c:v>1366.26290359263</c:v>
                </c:pt>
                <c:pt idx="108">
                  <c:v>1366.26290359263</c:v>
                </c:pt>
                <c:pt idx="109">
                  <c:v>1366.26290359263</c:v>
                </c:pt>
                <c:pt idx="110">
                  <c:v>1366.26290359263</c:v>
                </c:pt>
                <c:pt idx="111">
                  <c:v>1366.26290359263</c:v>
                </c:pt>
                <c:pt idx="112">
                  <c:v>1366.26290359263</c:v>
                </c:pt>
                <c:pt idx="113">
                  <c:v>1366.26290359263</c:v>
                </c:pt>
                <c:pt idx="114">
                  <c:v>1366.26290359263</c:v>
                </c:pt>
                <c:pt idx="115">
                  <c:v>1366.26290359263</c:v>
                </c:pt>
                <c:pt idx="116">
                  <c:v>1366.26290359263</c:v>
                </c:pt>
                <c:pt idx="117">
                  <c:v>1366.26290359263</c:v>
                </c:pt>
                <c:pt idx="118">
                  <c:v>1366.26290359263</c:v>
                </c:pt>
                <c:pt idx="119">
                  <c:v>1366.26290359263</c:v>
                </c:pt>
                <c:pt idx="120">
                  <c:v>1366.26290359263</c:v>
                </c:pt>
                <c:pt idx="121">
                  <c:v>1366.26290359263</c:v>
                </c:pt>
                <c:pt idx="122">
                  <c:v>1366.26290359263</c:v>
                </c:pt>
                <c:pt idx="123">
                  <c:v>1366.26290359263</c:v>
                </c:pt>
                <c:pt idx="124">
                  <c:v>1366.26290359263</c:v>
                </c:pt>
                <c:pt idx="125">
                  <c:v>1366.26290359263</c:v>
                </c:pt>
                <c:pt idx="126">
                  <c:v>1366.26290359263</c:v>
                </c:pt>
                <c:pt idx="127">
                  <c:v>1366.26290359263</c:v>
                </c:pt>
                <c:pt idx="128">
                  <c:v>1366.26290359263</c:v>
                </c:pt>
                <c:pt idx="129">
                  <c:v>1366.26290359263</c:v>
                </c:pt>
                <c:pt idx="130">
                  <c:v>1366.26290359263</c:v>
                </c:pt>
                <c:pt idx="131">
                  <c:v>1366.26290359263</c:v>
                </c:pt>
                <c:pt idx="132">
                  <c:v>1366.26290359263</c:v>
                </c:pt>
                <c:pt idx="133">
                  <c:v>1366.26290359263</c:v>
                </c:pt>
                <c:pt idx="134">
                  <c:v>1366.26290359263</c:v>
                </c:pt>
                <c:pt idx="135">
                  <c:v>1366.26290359263</c:v>
                </c:pt>
                <c:pt idx="136">
                  <c:v>1366.26290359263</c:v>
                </c:pt>
                <c:pt idx="137">
                  <c:v>1366.26290359263</c:v>
                </c:pt>
                <c:pt idx="138">
                  <c:v>1366.26290359263</c:v>
                </c:pt>
                <c:pt idx="139">
                  <c:v>1366.26290359263</c:v>
                </c:pt>
                <c:pt idx="140">
                  <c:v>1366.26290359263</c:v>
                </c:pt>
                <c:pt idx="141">
                  <c:v>1366.26290359263</c:v>
                </c:pt>
                <c:pt idx="142">
                  <c:v>1366.26290359263</c:v>
                </c:pt>
                <c:pt idx="143">
                  <c:v>1366.26290359263</c:v>
                </c:pt>
                <c:pt idx="144">
                  <c:v>1366.26290359263</c:v>
                </c:pt>
                <c:pt idx="145">
                  <c:v>1366.26290359263</c:v>
                </c:pt>
                <c:pt idx="146">
                  <c:v>1366.26290359263</c:v>
                </c:pt>
                <c:pt idx="147">
                  <c:v>1366.26290359263</c:v>
                </c:pt>
                <c:pt idx="148">
                  <c:v>1366.26290359263</c:v>
                </c:pt>
                <c:pt idx="149">
                  <c:v>1366.26290359263</c:v>
                </c:pt>
                <c:pt idx="150">
                  <c:v>1366.26290359263</c:v>
                </c:pt>
                <c:pt idx="151">
                  <c:v>1366.26290359263</c:v>
                </c:pt>
                <c:pt idx="152">
                  <c:v>1366.26290359263</c:v>
                </c:pt>
                <c:pt idx="153">
                  <c:v>1366.26290359263</c:v>
                </c:pt>
                <c:pt idx="154">
                  <c:v>1366.26290359263</c:v>
                </c:pt>
                <c:pt idx="155">
                  <c:v>1366.26290359263</c:v>
                </c:pt>
                <c:pt idx="156">
                  <c:v>1366.26290359263</c:v>
                </c:pt>
                <c:pt idx="157">
                  <c:v>1366.26290359263</c:v>
                </c:pt>
                <c:pt idx="158">
                  <c:v>1366.26290359263</c:v>
                </c:pt>
                <c:pt idx="159">
                  <c:v>1366.26290359263</c:v>
                </c:pt>
                <c:pt idx="160">
                  <c:v>1366.26290359263</c:v>
                </c:pt>
                <c:pt idx="161">
                  <c:v>1366.26290359263</c:v>
                </c:pt>
                <c:pt idx="162">
                  <c:v>1366.26290359263</c:v>
                </c:pt>
                <c:pt idx="163">
                  <c:v>1366.26290359263</c:v>
                </c:pt>
                <c:pt idx="164">
                  <c:v>1366.26290359263</c:v>
                </c:pt>
                <c:pt idx="165">
                  <c:v>1366.26290359263</c:v>
                </c:pt>
                <c:pt idx="166">
                  <c:v>1366.26290359263</c:v>
                </c:pt>
                <c:pt idx="167">
                  <c:v>1366.26290359263</c:v>
                </c:pt>
                <c:pt idx="168">
                  <c:v>1366.26290359263</c:v>
                </c:pt>
                <c:pt idx="169">
                  <c:v>1366.26290359263</c:v>
                </c:pt>
                <c:pt idx="170">
                  <c:v>1366.26290359263</c:v>
                </c:pt>
                <c:pt idx="171">
                  <c:v>1366.26290359263</c:v>
                </c:pt>
                <c:pt idx="172">
                  <c:v>1366.26290359263</c:v>
                </c:pt>
                <c:pt idx="173">
                  <c:v>1366.26290359263</c:v>
                </c:pt>
                <c:pt idx="174">
                  <c:v>1366.26290359263</c:v>
                </c:pt>
                <c:pt idx="175">
                  <c:v>1366.26290359263</c:v>
                </c:pt>
                <c:pt idx="176">
                  <c:v>1366.26290359263</c:v>
                </c:pt>
                <c:pt idx="177">
                  <c:v>1366.26290359263</c:v>
                </c:pt>
                <c:pt idx="178">
                  <c:v>1366.26290359263</c:v>
                </c:pt>
                <c:pt idx="179">
                  <c:v>1366.26290359263</c:v>
                </c:pt>
                <c:pt idx="180">
                  <c:v>1366.26290359263</c:v>
                </c:pt>
                <c:pt idx="181">
                  <c:v>1366.26290359263</c:v>
                </c:pt>
                <c:pt idx="182">
                  <c:v>1366.26290359263</c:v>
                </c:pt>
                <c:pt idx="183">
                  <c:v>1366.26290359263</c:v>
                </c:pt>
                <c:pt idx="184">
                  <c:v>1366.26290359263</c:v>
                </c:pt>
                <c:pt idx="185">
                  <c:v>1366.26290359263</c:v>
                </c:pt>
                <c:pt idx="186">
                  <c:v>1366.26290359263</c:v>
                </c:pt>
                <c:pt idx="187">
                  <c:v>1366.26290359263</c:v>
                </c:pt>
                <c:pt idx="188">
                  <c:v>1366.26290359263</c:v>
                </c:pt>
                <c:pt idx="189">
                  <c:v>1366.26290359263</c:v>
                </c:pt>
                <c:pt idx="190">
                  <c:v>1366.26290359263</c:v>
                </c:pt>
                <c:pt idx="191">
                  <c:v>1366.26290359263</c:v>
                </c:pt>
                <c:pt idx="192">
                  <c:v>1366.26290359263</c:v>
                </c:pt>
                <c:pt idx="193">
                  <c:v>1366.26290359263</c:v>
                </c:pt>
                <c:pt idx="194">
                  <c:v>1366.26290359263</c:v>
                </c:pt>
                <c:pt idx="195">
                  <c:v>1366.26290359263</c:v>
                </c:pt>
                <c:pt idx="196">
                  <c:v>1366.26290359263</c:v>
                </c:pt>
                <c:pt idx="197">
                  <c:v>1366.26290359263</c:v>
                </c:pt>
                <c:pt idx="198">
                  <c:v>1366.26290359263</c:v>
                </c:pt>
                <c:pt idx="199">
                  <c:v>1366.26290359263</c:v>
                </c:pt>
                <c:pt idx="200">
                  <c:v>1366.26290359263</c:v>
                </c:pt>
                <c:pt idx="201">
                  <c:v>1366.26290359263</c:v>
                </c:pt>
                <c:pt idx="202">
                  <c:v>1366.26290359263</c:v>
                </c:pt>
                <c:pt idx="203">
                  <c:v>1366.26290359263</c:v>
                </c:pt>
                <c:pt idx="204">
                  <c:v>1366.26290359263</c:v>
                </c:pt>
                <c:pt idx="205">
                  <c:v>1366.26290359263</c:v>
                </c:pt>
                <c:pt idx="206">
                  <c:v>1366.26290359263</c:v>
                </c:pt>
                <c:pt idx="207">
                  <c:v>1366.26290359263</c:v>
                </c:pt>
                <c:pt idx="208">
                  <c:v>1366.26290359263</c:v>
                </c:pt>
                <c:pt idx="209">
                  <c:v>1366.26290359263</c:v>
                </c:pt>
                <c:pt idx="210">
                  <c:v>1366.26290359263</c:v>
                </c:pt>
                <c:pt idx="211">
                  <c:v>1366.26290359263</c:v>
                </c:pt>
                <c:pt idx="212">
                  <c:v>1366.26290359263</c:v>
                </c:pt>
                <c:pt idx="213">
                  <c:v>1366.26290359263</c:v>
                </c:pt>
                <c:pt idx="214">
                  <c:v>1366.26290359263</c:v>
                </c:pt>
                <c:pt idx="215">
                  <c:v>1366.26290359263</c:v>
                </c:pt>
                <c:pt idx="216">
                  <c:v>1366.26290359263</c:v>
                </c:pt>
                <c:pt idx="217">
                  <c:v>1366.26290359263</c:v>
                </c:pt>
                <c:pt idx="218">
                  <c:v>1366.26290359263</c:v>
                </c:pt>
                <c:pt idx="219">
                  <c:v>1366.26290359263</c:v>
                </c:pt>
                <c:pt idx="220">
                  <c:v>1366.26290359263</c:v>
                </c:pt>
                <c:pt idx="221">
                  <c:v>1366.26290359263</c:v>
                </c:pt>
                <c:pt idx="222">
                  <c:v>1366.26290359263</c:v>
                </c:pt>
                <c:pt idx="223">
                  <c:v>1366.26290359263</c:v>
                </c:pt>
                <c:pt idx="224">
                  <c:v>1366.26290359263</c:v>
                </c:pt>
                <c:pt idx="225">
                  <c:v>1366.26290359263</c:v>
                </c:pt>
                <c:pt idx="226">
                  <c:v>1366.26290359263</c:v>
                </c:pt>
                <c:pt idx="227">
                  <c:v>1366.26290359263</c:v>
                </c:pt>
                <c:pt idx="228">
                  <c:v>1366.26290359263</c:v>
                </c:pt>
                <c:pt idx="229">
                  <c:v>1366.26290359263</c:v>
                </c:pt>
                <c:pt idx="230">
                  <c:v>1366.26290359263</c:v>
                </c:pt>
                <c:pt idx="231">
                  <c:v>1366.26290359263</c:v>
                </c:pt>
                <c:pt idx="232">
                  <c:v>1366.26290359263</c:v>
                </c:pt>
                <c:pt idx="233">
                  <c:v>1366.26290359263</c:v>
                </c:pt>
                <c:pt idx="234">
                  <c:v>1366.26290359263</c:v>
                </c:pt>
                <c:pt idx="235">
                  <c:v>1366.26290359263</c:v>
                </c:pt>
                <c:pt idx="236">
                  <c:v>1366.26290359263</c:v>
                </c:pt>
                <c:pt idx="237">
                  <c:v>1366.26290359263</c:v>
                </c:pt>
                <c:pt idx="238">
                  <c:v>1366.26290359263</c:v>
                </c:pt>
                <c:pt idx="239">
                  <c:v>1366.26290359263</c:v>
                </c:pt>
                <c:pt idx="240">
                  <c:v>1366.26290359263</c:v>
                </c:pt>
                <c:pt idx="241">
                  <c:v>1366.26290359263</c:v>
                </c:pt>
                <c:pt idx="242">
                  <c:v>1366.26290359263</c:v>
                </c:pt>
                <c:pt idx="243">
                  <c:v>1366.26290359263</c:v>
                </c:pt>
                <c:pt idx="244">
                  <c:v>1366.26290359263</c:v>
                </c:pt>
                <c:pt idx="245">
                  <c:v>1366.26290359263</c:v>
                </c:pt>
                <c:pt idx="246">
                  <c:v>1366.26290359263</c:v>
                </c:pt>
                <c:pt idx="247">
                  <c:v>1366.26290359263</c:v>
                </c:pt>
                <c:pt idx="248">
                  <c:v>1366.26290359263</c:v>
                </c:pt>
                <c:pt idx="249">
                  <c:v>1366.26290359263</c:v>
                </c:pt>
                <c:pt idx="250">
                  <c:v>1366.26290359263</c:v>
                </c:pt>
                <c:pt idx="251">
                  <c:v>1366.26290359263</c:v>
                </c:pt>
                <c:pt idx="252">
                  <c:v>1366.26290359263</c:v>
                </c:pt>
                <c:pt idx="253">
                  <c:v>1366.26290359263</c:v>
                </c:pt>
                <c:pt idx="254">
                  <c:v>1366.26290359263</c:v>
                </c:pt>
                <c:pt idx="255">
                  <c:v>1366.26290359263</c:v>
                </c:pt>
                <c:pt idx="256">
                  <c:v>1366.26290359263</c:v>
                </c:pt>
                <c:pt idx="257">
                  <c:v>1366.26290359263</c:v>
                </c:pt>
                <c:pt idx="258">
                  <c:v>1366.26290359263</c:v>
                </c:pt>
                <c:pt idx="259">
                  <c:v>1366.26290359263</c:v>
                </c:pt>
                <c:pt idx="260">
                  <c:v>1366.26290359263</c:v>
                </c:pt>
                <c:pt idx="261">
                  <c:v>1366.26290359263</c:v>
                </c:pt>
                <c:pt idx="262">
                  <c:v>1366.26290359263</c:v>
                </c:pt>
                <c:pt idx="263">
                  <c:v>1366.26290359263</c:v>
                </c:pt>
                <c:pt idx="264">
                  <c:v>1366.26290359263</c:v>
                </c:pt>
                <c:pt idx="265">
                  <c:v>1366.26290359263</c:v>
                </c:pt>
                <c:pt idx="266">
                  <c:v>1366.26290359263</c:v>
                </c:pt>
                <c:pt idx="267">
                  <c:v>1366.26290359263</c:v>
                </c:pt>
                <c:pt idx="268">
                  <c:v>1366.26290359263</c:v>
                </c:pt>
                <c:pt idx="269">
                  <c:v>1366.26290359263</c:v>
                </c:pt>
                <c:pt idx="270">
                  <c:v>1366.26290359263</c:v>
                </c:pt>
                <c:pt idx="271">
                  <c:v>1366.26290359263</c:v>
                </c:pt>
                <c:pt idx="272">
                  <c:v>1366.26290359263</c:v>
                </c:pt>
                <c:pt idx="273">
                  <c:v>1366.26290359263</c:v>
                </c:pt>
                <c:pt idx="274">
                  <c:v>1366.26290359263</c:v>
                </c:pt>
                <c:pt idx="275">
                  <c:v>1366.26290359263</c:v>
                </c:pt>
                <c:pt idx="276">
                  <c:v>1366.26290359263</c:v>
                </c:pt>
                <c:pt idx="277">
                  <c:v>1366.26290359263</c:v>
                </c:pt>
                <c:pt idx="278">
                  <c:v>1366.26290359263</c:v>
                </c:pt>
                <c:pt idx="279">
                  <c:v>1366.26290359263</c:v>
                </c:pt>
                <c:pt idx="280">
                  <c:v>1366.26290359263</c:v>
                </c:pt>
                <c:pt idx="281">
                  <c:v>1366.26290359263</c:v>
                </c:pt>
                <c:pt idx="282">
                  <c:v>1366.26290359263</c:v>
                </c:pt>
                <c:pt idx="283">
                  <c:v>1366.26290359263</c:v>
                </c:pt>
                <c:pt idx="284">
                  <c:v>1366.26290359263</c:v>
                </c:pt>
                <c:pt idx="285">
                  <c:v>1366.26290359263</c:v>
                </c:pt>
                <c:pt idx="286">
                  <c:v>1366.26290359263</c:v>
                </c:pt>
                <c:pt idx="287">
                  <c:v>1366.26290359263</c:v>
                </c:pt>
                <c:pt idx="288">
                  <c:v>1366.26290359263</c:v>
                </c:pt>
                <c:pt idx="289">
                  <c:v>1366.26290359263</c:v>
                </c:pt>
                <c:pt idx="290">
                  <c:v>1366.26290359263</c:v>
                </c:pt>
                <c:pt idx="291">
                  <c:v>1366.26290359263</c:v>
                </c:pt>
                <c:pt idx="292">
                  <c:v>1366.26290359263</c:v>
                </c:pt>
                <c:pt idx="293">
                  <c:v>1366.26290359263</c:v>
                </c:pt>
                <c:pt idx="294">
                  <c:v>1366.26290359263</c:v>
                </c:pt>
                <c:pt idx="295">
                  <c:v>1366.26290359263</c:v>
                </c:pt>
                <c:pt idx="296">
                  <c:v>1366.26290359263</c:v>
                </c:pt>
                <c:pt idx="297">
                  <c:v>1366.26290359263</c:v>
                </c:pt>
                <c:pt idx="298">
                  <c:v>1366.26290359263</c:v>
                </c:pt>
                <c:pt idx="299">
                  <c:v>1366.26290359263</c:v>
                </c:pt>
                <c:pt idx="300">
                  <c:v>1366.26290359263</c:v>
                </c:pt>
                <c:pt idx="301">
                  <c:v>1366.26290359263</c:v>
                </c:pt>
                <c:pt idx="302">
                  <c:v>1366.26290359263</c:v>
                </c:pt>
                <c:pt idx="303">
                  <c:v>1366.26290359263</c:v>
                </c:pt>
                <c:pt idx="304">
                  <c:v>1366.26290359263</c:v>
                </c:pt>
                <c:pt idx="305">
                  <c:v>1366.26290359263</c:v>
                </c:pt>
                <c:pt idx="306">
                  <c:v>1366.26290359263</c:v>
                </c:pt>
                <c:pt idx="307">
                  <c:v>1366.26290359263</c:v>
                </c:pt>
                <c:pt idx="308">
                  <c:v>1366.26290359263</c:v>
                </c:pt>
                <c:pt idx="309">
                  <c:v>1366.26290359263</c:v>
                </c:pt>
                <c:pt idx="310">
                  <c:v>1366.26290359263</c:v>
                </c:pt>
                <c:pt idx="311">
                  <c:v>1366.26290359263</c:v>
                </c:pt>
                <c:pt idx="312">
                  <c:v>1366.26290359263</c:v>
                </c:pt>
                <c:pt idx="313">
                  <c:v>1366.26290359263</c:v>
                </c:pt>
                <c:pt idx="314">
                  <c:v>1366.26290359263</c:v>
                </c:pt>
                <c:pt idx="315">
                  <c:v>1366.26290359263</c:v>
                </c:pt>
                <c:pt idx="316">
                  <c:v>1366.26290359263</c:v>
                </c:pt>
                <c:pt idx="317">
                  <c:v>1366.26290359263</c:v>
                </c:pt>
                <c:pt idx="318">
                  <c:v>1366.26290359263</c:v>
                </c:pt>
                <c:pt idx="319">
                  <c:v>1366.26290359263</c:v>
                </c:pt>
                <c:pt idx="320">
                  <c:v>1366.26290359263</c:v>
                </c:pt>
                <c:pt idx="321">
                  <c:v>1366.26290359263</c:v>
                </c:pt>
                <c:pt idx="322">
                  <c:v>1366.26290359263</c:v>
                </c:pt>
                <c:pt idx="323">
                  <c:v>1366.26290359263</c:v>
                </c:pt>
                <c:pt idx="324">
                  <c:v>1366.26290359263</c:v>
                </c:pt>
                <c:pt idx="325">
                  <c:v>1366.26290359263</c:v>
                </c:pt>
                <c:pt idx="326">
                  <c:v>1366.26290359263</c:v>
                </c:pt>
                <c:pt idx="327">
                  <c:v>1366.26290359263</c:v>
                </c:pt>
                <c:pt idx="328">
                  <c:v>1366.26290359263</c:v>
                </c:pt>
                <c:pt idx="329">
                  <c:v>1366.26290359263</c:v>
                </c:pt>
                <c:pt idx="330">
                  <c:v>1366.26290359263</c:v>
                </c:pt>
                <c:pt idx="331">
                  <c:v>1366.26290359263</c:v>
                </c:pt>
                <c:pt idx="332">
                  <c:v>1366.26290359263</c:v>
                </c:pt>
                <c:pt idx="333">
                  <c:v>1366.26290359263</c:v>
                </c:pt>
                <c:pt idx="334">
                  <c:v>1366.26290359263</c:v>
                </c:pt>
                <c:pt idx="335">
                  <c:v>1366.26290359263</c:v>
                </c:pt>
                <c:pt idx="336">
                  <c:v>1366.26290359263</c:v>
                </c:pt>
                <c:pt idx="337">
                  <c:v>1366.26290359263</c:v>
                </c:pt>
                <c:pt idx="338">
                  <c:v>1366.26290359263</c:v>
                </c:pt>
                <c:pt idx="339">
                  <c:v>1366.26290359263</c:v>
                </c:pt>
                <c:pt idx="340">
                  <c:v>1366.26290359263</c:v>
                </c:pt>
                <c:pt idx="341">
                  <c:v>1366.26290359263</c:v>
                </c:pt>
                <c:pt idx="342">
                  <c:v>1366.26290359263</c:v>
                </c:pt>
                <c:pt idx="343">
                  <c:v>1366.26290359263</c:v>
                </c:pt>
                <c:pt idx="344">
                  <c:v>1366.26290359263</c:v>
                </c:pt>
                <c:pt idx="345">
                  <c:v>1366.26290359263</c:v>
                </c:pt>
                <c:pt idx="346">
                  <c:v>1366.26290359263</c:v>
                </c:pt>
                <c:pt idx="347">
                  <c:v>1366.26290359263</c:v>
                </c:pt>
                <c:pt idx="348">
                  <c:v>1366.26290359263</c:v>
                </c:pt>
                <c:pt idx="349">
                  <c:v>1366.26290359263</c:v>
                </c:pt>
                <c:pt idx="350">
                  <c:v>1366.26290359263</c:v>
                </c:pt>
                <c:pt idx="351">
                  <c:v>1366.26290359263</c:v>
                </c:pt>
                <c:pt idx="352">
                  <c:v>1366.26290359263</c:v>
                </c:pt>
                <c:pt idx="353">
                  <c:v>1366.26290359263</c:v>
                </c:pt>
                <c:pt idx="354">
                  <c:v>1366.26290359263</c:v>
                </c:pt>
                <c:pt idx="355">
                  <c:v>1366.26290359263</c:v>
                </c:pt>
                <c:pt idx="356">
                  <c:v>1366.26290359263</c:v>
                </c:pt>
                <c:pt idx="357">
                  <c:v>1366.26290359263</c:v>
                </c:pt>
                <c:pt idx="358">
                  <c:v>1366.26290359263</c:v>
                </c:pt>
                <c:pt idx="359">
                  <c:v>1366.26290359263</c:v>
                </c:pt>
                <c:pt idx="360">
                  <c:v>1366.26290359263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Projecao!$F$1</c:f>
              <c:strCache>
                <c:ptCount val="1"/>
                <c:pt idx="0">
                  <c:v>Saldo — Cenário Pessimista</c:v>
                </c:pt>
              </c:strCache>
            </c:strRef>
          </c:tx>
          <c:spPr>
            <a:ln w="28575" cap="rnd" cmpd="sng" algn="ctr">
              <a:solidFill>
                <a:schemeClr val="accent3">
                  <a:shade val="95000"/>
                  <a:satMod val="105000"/>
                </a:schemeClr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numRef>
              <c:f>Projecao!$B$2:$B$362</c:f>
              <c:numCache>
                <c:formatCode>General</c:formatCode>
                <c:ptCount val="361"/>
                <c:pt idx="0">
                  <c:v>0</c:v>
                </c:pt>
                <c:pt idx="1">
                  <c:v>0.0833333333333333</c:v>
                </c:pt>
                <c:pt idx="2">
                  <c:v>0.166666666666667</c:v>
                </c:pt>
                <c:pt idx="3">
                  <c:v>0.25</c:v>
                </c:pt>
                <c:pt idx="4">
                  <c:v>0.333333333333333</c:v>
                </c:pt>
                <c:pt idx="5">
                  <c:v>0.416666666666667</c:v>
                </c:pt>
                <c:pt idx="6">
                  <c:v>0.5</c:v>
                </c:pt>
                <c:pt idx="7">
                  <c:v>0.583333333333333</c:v>
                </c:pt>
                <c:pt idx="8">
                  <c:v>0.666666666666667</c:v>
                </c:pt>
                <c:pt idx="9">
                  <c:v>0.75</c:v>
                </c:pt>
                <c:pt idx="10">
                  <c:v>0.833333333333333</c:v>
                </c:pt>
                <c:pt idx="11">
                  <c:v>0.916666666666667</c:v>
                </c:pt>
                <c:pt idx="12">
                  <c:v>1</c:v>
                </c:pt>
                <c:pt idx="13">
                  <c:v>1.08333333333333</c:v>
                </c:pt>
                <c:pt idx="14">
                  <c:v>1.16666666666667</c:v>
                </c:pt>
                <c:pt idx="15">
                  <c:v>1.25</c:v>
                </c:pt>
                <c:pt idx="16">
                  <c:v>1.33333333333333</c:v>
                </c:pt>
                <c:pt idx="17">
                  <c:v>1.41666666666667</c:v>
                </c:pt>
                <c:pt idx="18">
                  <c:v>1.5</c:v>
                </c:pt>
                <c:pt idx="19">
                  <c:v>1.58333333333333</c:v>
                </c:pt>
                <c:pt idx="20">
                  <c:v>1.66666666666667</c:v>
                </c:pt>
                <c:pt idx="21">
                  <c:v>1.75</c:v>
                </c:pt>
                <c:pt idx="22">
                  <c:v>1.83333333333333</c:v>
                </c:pt>
                <c:pt idx="23">
                  <c:v>1.91666666666667</c:v>
                </c:pt>
                <c:pt idx="24">
                  <c:v>2</c:v>
                </c:pt>
                <c:pt idx="25">
                  <c:v>2.08333333333333</c:v>
                </c:pt>
                <c:pt idx="26">
                  <c:v>2.16666666666667</c:v>
                </c:pt>
                <c:pt idx="27">
                  <c:v>2.25</c:v>
                </c:pt>
                <c:pt idx="28">
                  <c:v>2.33333333333333</c:v>
                </c:pt>
                <c:pt idx="29">
                  <c:v>2.41666666666667</c:v>
                </c:pt>
                <c:pt idx="30">
                  <c:v>2.5</c:v>
                </c:pt>
                <c:pt idx="31">
                  <c:v>2.58333333333333</c:v>
                </c:pt>
                <c:pt idx="32">
                  <c:v>2.66666666666667</c:v>
                </c:pt>
                <c:pt idx="33">
                  <c:v>2.75</c:v>
                </c:pt>
                <c:pt idx="34">
                  <c:v>2.83333333333333</c:v>
                </c:pt>
                <c:pt idx="35">
                  <c:v>2.91666666666667</c:v>
                </c:pt>
                <c:pt idx="36">
                  <c:v>3</c:v>
                </c:pt>
                <c:pt idx="37">
                  <c:v>3.08333333333333</c:v>
                </c:pt>
                <c:pt idx="38">
                  <c:v>3.16666666666667</c:v>
                </c:pt>
                <c:pt idx="39">
                  <c:v>3.25</c:v>
                </c:pt>
                <c:pt idx="40">
                  <c:v>3.33333333333333</c:v>
                </c:pt>
                <c:pt idx="41">
                  <c:v>3.41666666666667</c:v>
                </c:pt>
                <c:pt idx="42">
                  <c:v>3.5</c:v>
                </c:pt>
                <c:pt idx="43">
                  <c:v>3.58333333333333</c:v>
                </c:pt>
                <c:pt idx="44">
                  <c:v>3.66666666666667</c:v>
                </c:pt>
                <c:pt idx="45">
                  <c:v>3.75</c:v>
                </c:pt>
                <c:pt idx="46">
                  <c:v>3.83333333333333</c:v>
                </c:pt>
                <c:pt idx="47">
                  <c:v>3.91666666666667</c:v>
                </c:pt>
                <c:pt idx="48">
                  <c:v>4</c:v>
                </c:pt>
                <c:pt idx="49">
                  <c:v>4.08333333333333</c:v>
                </c:pt>
                <c:pt idx="50">
                  <c:v>4.16666666666667</c:v>
                </c:pt>
                <c:pt idx="51">
                  <c:v>4.25</c:v>
                </c:pt>
                <c:pt idx="52">
                  <c:v>4.33333333333333</c:v>
                </c:pt>
                <c:pt idx="53">
                  <c:v>4.41666666666667</c:v>
                </c:pt>
                <c:pt idx="54">
                  <c:v>4.5</c:v>
                </c:pt>
                <c:pt idx="55">
                  <c:v>4.58333333333333</c:v>
                </c:pt>
                <c:pt idx="56">
                  <c:v>4.66666666666667</c:v>
                </c:pt>
                <c:pt idx="57">
                  <c:v>4.75</c:v>
                </c:pt>
                <c:pt idx="58">
                  <c:v>4.83333333333333</c:v>
                </c:pt>
                <c:pt idx="59">
                  <c:v>4.91666666666667</c:v>
                </c:pt>
                <c:pt idx="60">
                  <c:v>5</c:v>
                </c:pt>
                <c:pt idx="61">
                  <c:v>5.08333333333333</c:v>
                </c:pt>
                <c:pt idx="62">
                  <c:v>5.16666666666667</c:v>
                </c:pt>
                <c:pt idx="63">
                  <c:v>5.25</c:v>
                </c:pt>
                <c:pt idx="64">
                  <c:v>5.33333333333333</c:v>
                </c:pt>
                <c:pt idx="65">
                  <c:v>5.41666666666667</c:v>
                </c:pt>
                <c:pt idx="66">
                  <c:v>5.5</c:v>
                </c:pt>
                <c:pt idx="67">
                  <c:v>5.58333333333333</c:v>
                </c:pt>
                <c:pt idx="68">
                  <c:v>5.66666666666667</c:v>
                </c:pt>
                <c:pt idx="69">
                  <c:v>5.75</c:v>
                </c:pt>
                <c:pt idx="70">
                  <c:v>5.83333333333333</c:v>
                </c:pt>
                <c:pt idx="71">
                  <c:v>5.91666666666667</c:v>
                </c:pt>
                <c:pt idx="72">
                  <c:v>6</c:v>
                </c:pt>
                <c:pt idx="73">
                  <c:v>6.08333333333333</c:v>
                </c:pt>
                <c:pt idx="74">
                  <c:v>6.16666666666667</c:v>
                </c:pt>
                <c:pt idx="75">
                  <c:v>6.25</c:v>
                </c:pt>
                <c:pt idx="76">
                  <c:v>6.33333333333333</c:v>
                </c:pt>
                <c:pt idx="77">
                  <c:v>6.41666666666667</c:v>
                </c:pt>
                <c:pt idx="78">
                  <c:v>6.5</c:v>
                </c:pt>
                <c:pt idx="79">
                  <c:v>6.58333333333333</c:v>
                </c:pt>
                <c:pt idx="80">
                  <c:v>6.66666666666667</c:v>
                </c:pt>
                <c:pt idx="81">
                  <c:v>6.75</c:v>
                </c:pt>
                <c:pt idx="82">
                  <c:v>6.83333333333333</c:v>
                </c:pt>
                <c:pt idx="83">
                  <c:v>6.91666666666667</c:v>
                </c:pt>
                <c:pt idx="84">
                  <c:v>7</c:v>
                </c:pt>
                <c:pt idx="85">
                  <c:v>7.08333333333333</c:v>
                </c:pt>
                <c:pt idx="86">
                  <c:v>7.16666666666667</c:v>
                </c:pt>
                <c:pt idx="87">
                  <c:v>7.25</c:v>
                </c:pt>
                <c:pt idx="88">
                  <c:v>7.33333333333333</c:v>
                </c:pt>
                <c:pt idx="89">
                  <c:v>7.41666666666667</c:v>
                </c:pt>
                <c:pt idx="90">
                  <c:v>7.5</c:v>
                </c:pt>
                <c:pt idx="91">
                  <c:v>7.58333333333333</c:v>
                </c:pt>
                <c:pt idx="92">
                  <c:v>7.66666666666667</c:v>
                </c:pt>
                <c:pt idx="93">
                  <c:v>7.75</c:v>
                </c:pt>
                <c:pt idx="94">
                  <c:v>7.83333333333333</c:v>
                </c:pt>
                <c:pt idx="95">
                  <c:v>7.91666666666667</c:v>
                </c:pt>
                <c:pt idx="96">
                  <c:v>8</c:v>
                </c:pt>
                <c:pt idx="97">
                  <c:v>8.08333333333333</c:v>
                </c:pt>
                <c:pt idx="98">
                  <c:v>8.16666666666667</c:v>
                </c:pt>
                <c:pt idx="99">
                  <c:v>8.25</c:v>
                </c:pt>
                <c:pt idx="100">
                  <c:v>8.33333333333333</c:v>
                </c:pt>
                <c:pt idx="101">
                  <c:v>8.41666666666667</c:v>
                </c:pt>
                <c:pt idx="102">
                  <c:v>8.5</c:v>
                </c:pt>
                <c:pt idx="103">
                  <c:v>8.58333333333333</c:v>
                </c:pt>
                <c:pt idx="104">
                  <c:v>8.66666666666667</c:v>
                </c:pt>
                <c:pt idx="105">
                  <c:v>8.75</c:v>
                </c:pt>
                <c:pt idx="106">
                  <c:v>8.83333333333333</c:v>
                </c:pt>
                <c:pt idx="107">
                  <c:v>8.91666666666667</c:v>
                </c:pt>
                <c:pt idx="108">
                  <c:v>9</c:v>
                </c:pt>
                <c:pt idx="109">
                  <c:v>9.08333333333333</c:v>
                </c:pt>
                <c:pt idx="110">
                  <c:v>9.16666666666667</c:v>
                </c:pt>
                <c:pt idx="111">
                  <c:v>9.25</c:v>
                </c:pt>
                <c:pt idx="112">
                  <c:v>9.33333333333333</c:v>
                </c:pt>
                <c:pt idx="113">
                  <c:v>9.41666666666667</c:v>
                </c:pt>
                <c:pt idx="114">
                  <c:v>9.5</c:v>
                </c:pt>
                <c:pt idx="115">
                  <c:v>9.58333333333333</c:v>
                </c:pt>
                <c:pt idx="116">
                  <c:v>9.66666666666667</c:v>
                </c:pt>
                <c:pt idx="117">
                  <c:v>9.75</c:v>
                </c:pt>
                <c:pt idx="118">
                  <c:v>9.83333333333333</c:v>
                </c:pt>
                <c:pt idx="119">
                  <c:v>9.91666666666667</c:v>
                </c:pt>
                <c:pt idx="120">
                  <c:v>10</c:v>
                </c:pt>
                <c:pt idx="121">
                  <c:v>10.0833333333333</c:v>
                </c:pt>
                <c:pt idx="122">
                  <c:v>10.1666666666667</c:v>
                </c:pt>
                <c:pt idx="123">
                  <c:v>10.25</c:v>
                </c:pt>
                <c:pt idx="124">
                  <c:v>10.3333333333333</c:v>
                </c:pt>
                <c:pt idx="125">
                  <c:v>10.4166666666667</c:v>
                </c:pt>
                <c:pt idx="126">
                  <c:v>10.5</c:v>
                </c:pt>
                <c:pt idx="127">
                  <c:v>10.5833333333333</c:v>
                </c:pt>
                <c:pt idx="128">
                  <c:v>10.6666666666667</c:v>
                </c:pt>
                <c:pt idx="129">
                  <c:v>10.75</c:v>
                </c:pt>
                <c:pt idx="130">
                  <c:v>10.8333333333333</c:v>
                </c:pt>
                <c:pt idx="131">
                  <c:v>10.9166666666667</c:v>
                </c:pt>
                <c:pt idx="132">
                  <c:v>11</c:v>
                </c:pt>
                <c:pt idx="133">
                  <c:v>11.0833333333333</c:v>
                </c:pt>
                <c:pt idx="134">
                  <c:v>11.1666666666667</c:v>
                </c:pt>
                <c:pt idx="135">
                  <c:v>11.25</c:v>
                </c:pt>
                <c:pt idx="136">
                  <c:v>11.3333333333333</c:v>
                </c:pt>
                <c:pt idx="137">
                  <c:v>11.4166666666667</c:v>
                </c:pt>
                <c:pt idx="138">
                  <c:v>11.5</c:v>
                </c:pt>
                <c:pt idx="139">
                  <c:v>11.5833333333333</c:v>
                </c:pt>
                <c:pt idx="140">
                  <c:v>11.6666666666667</c:v>
                </c:pt>
                <c:pt idx="141">
                  <c:v>11.75</c:v>
                </c:pt>
                <c:pt idx="142">
                  <c:v>11.8333333333333</c:v>
                </c:pt>
                <c:pt idx="143">
                  <c:v>11.9166666666667</c:v>
                </c:pt>
                <c:pt idx="144">
                  <c:v>12</c:v>
                </c:pt>
                <c:pt idx="145">
                  <c:v>12.0833333333333</c:v>
                </c:pt>
                <c:pt idx="146">
                  <c:v>12.1666666666667</c:v>
                </c:pt>
                <c:pt idx="147">
                  <c:v>12.25</c:v>
                </c:pt>
                <c:pt idx="148">
                  <c:v>12.3333333333333</c:v>
                </c:pt>
                <c:pt idx="149">
                  <c:v>12.4166666666667</c:v>
                </c:pt>
                <c:pt idx="150">
                  <c:v>12.5</c:v>
                </c:pt>
                <c:pt idx="151">
                  <c:v>12.5833333333333</c:v>
                </c:pt>
                <c:pt idx="152">
                  <c:v>12.6666666666667</c:v>
                </c:pt>
                <c:pt idx="153">
                  <c:v>12.75</c:v>
                </c:pt>
                <c:pt idx="154">
                  <c:v>12.8333333333333</c:v>
                </c:pt>
                <c:pt idx="155">
                  <c:v>12.9166666666667</c:v>
                </c:pt>
                <c:pt idx="156">
                  <c:v>13</c:v>
                </c:pt>
                <c:pt idx="157">
                  <c:v>13.0833333333333</c:v>
                </c:pt>
                <c:pt idx="158">
                  <c:v>13.1666666666667</c:v>
                </c:pt>
                <c:pt idx="159">
                  <c:v>13.25</c:v>
                </c:pt>
                <c:pt idx="160">
                  <c:v>13.3333333333333</c:v>
                </c:pt>
                <c:pt idx="161">
                  <c:v>13.4166666666667</c:v>
                </c:pt>
                <c:pt idx="162">
                  <c:v>13.5</c:v>
                </c:pt>
                <c:pt idx="163">
                  <c:v>13.5833333333333</c:v>
                </c:pt>
                <c:pt idx="164">
                  <c:v>13.6666666666667</c:v>
                </c:pt>
                <c:pt idx="165">
                  <c:v>13.75</c:v>
                </c:pt>
                <c:pt idx="166">
                  <c:v>13.8333333333333</c:v>
                </c:pt>
                <c:pt idx="167">
                  <c:v>13.9166666666667</c:v>
                </c:pt>
                <c:pt idx="168">
                  <c:v>14</c:v>
                </c:pt>
                <c:pt idx="169">
                  <c:v>14.0833333333333</c:v>
                </c:pt>
                <c:pt idx="170">
                  <c:v>14.1666666666667</c:v>
                </c:pt>
                <c:pt idx="171">
                  <c:v>14.25</c:v>
                </c:pt>
                <c:pt idx="172">
                  <c:v>14.3333333333333</c:v>
                </c:pt>
                <c:pt idx="173">
                  <c:v>14.4166666666667</c:v>
                </c:pt>
                <c:pt idx="174">
                  <c:v>14.5</c:v>
                </c:pt>
                <c:pt idx="175">
                  <c:v>14.5833333333333</c:v>
                </c:pt>
                <c:pt idx="176">
                  <c:v>14.6666666666667</c:v>
                </c:pt>
                <c:pt idx="177">
                  <c:v>14.75</c:v>
                </c:pt>
                <c:pt idx="178">
                  <c:v>14.8333333333333</c:v>
                </c:pt>
                <c:pt idx="179">
                  <c:v>14.9166666666667</c:v>
                </c:pt>
                <c:pt idx="180">
                  <c:v>15</c:v>
                </c:pt>
                <c:pt idx="181">
                  <c:v>15.0833333333333</c:v>
                </c:pt>
                <c:pt idx="182">
                  <c:v>15.1666666666667</c:v>
                </c:pt>
                <c:pt idx="183">
                  <c:v>15.25</c:v>
                </c:pt>
                <c:pt idx="184">
                  <c:v>15.3333333333333</c:v>
                </c:pt>
                <c:pt idx="185">
                  <c:v>15.4166666666667</c:v>
                </c:pt>
                <c:pt idx="186">
                  <c:v>15.5</c:v>
                </c:pt>
                <c:pt idx="187">
                  <c:v>15.5833333333333</c:v>
                </c:pt>
                <c:pt idx="188">
                  <c:v>15.6666666666667</c:v>
                </c:pt>
                <c:pt idx="189">
                  <c:v>15.75</c:v>
                </c:pt>
                <c:pt idx="190">
                  <c:v>15.8333333333333</c:v>
                </c:pt>
                <c:pt idx="191">
                  <c:v>15.9166666666667</c:v>
                </c:pt>
                <c:pt idx="192">
                  <c:v>16</c:v>
                </c:pt>
                <c:pt idx="193">
                  <c:v>16.0833333333333</c:v>
                </c:pt>
                <c:pt idx="194">
                  <c:v>16.1666666666667</c:v>
                </c:pt>
                <c:pt idx="195">
                  <c:v>16.25</c:v>
                </c:pt>
                <c:pt idx="196">
                  <c:v>16.3333333333333</c:v>
                </c:pt>
                <c:pt idx="197">
                  <c:v>16.4166666666667</c:v>
                </c:pt>
                <c:pt idx="198">
                  <c:v>16.5</c:v>
                </c:pt>
                <c:pt idx="199">
                  <c:v>16.5833333333333</c:v>
                </c:pt>
                <c:pt idx="200">
                  <c:v>16.6666666666667</c:v>
                </c:pt>
                <c:pt idx="201">
                  <c:v>16.75</c:v>
                </c:pt>
                <c:pt idx="202">
                  <c:v>16.8333333333333</c:v>
                </c:pt>
                <c:pt idx="203">
                  <c:v>16.9166666666667</c:v>
                </c:pt>
                <c:pt idx="204">
                  <c:v>17</c:v>
                </c:pt>
                <c:pt idx="205">
                  <c:v>17.0833333333333</c:v>
                </c:pt>
                <c:pt idx="206">
                  <c:v>17.1666666666667</c:v>
                </c:pt>
                <c:pt idx="207">
                  <c:v>17.25</c:v>
                </c:pt>
                <c:pt idx="208">
                  <c:v>17.3333333333333</c:v>
                </c:pt>
                <c:pt idx="209">
                  <c:v>17.4166666666667</c:v>
                </c:pt>
                <c:pt idx="210">
                  <c:v>17.5</c:v>
                </c:pt>
                <c:pt idx="211">
                  <c:v>17.5833333333333</c:v>
                </c:pt>
                <c:pt idx="212">
                  <c:v>17.6666666666667</c:v>
                </c:pt>
                <c:pt idx="213">
                  <c:v>17.75</c:v>
                </c:pt>
                <c:pt idx="214">
                  <c:v>17.8333333333333</c:v>
                </c:pt>
                <c:pt idx="215">
                  <c:v>17.9166666666667</c:v>
                </c:pt>
                <c:pt idx="216">
                  <c:v>18</c:v>
                </c:pt>
                <c:pt idx="217">
                  <c:v>18.0833333333333</c:v>
                </c:pt>
                <c:pt idx="218">
                  <c:v>18.1666666666667</c:v>
                </c:pt>
                <c:pt idx="219">
                  <c:v>18.25</c:v>
                </c:pt>
                <c:pt idx="220">
                  <c:v>18.3333333333333</c:v>
                </c:pt>
                <c:pt idx="221">
                  <c:v>18.4166666666667</c:v>
                </c:pt>
                <c:pt idx="222">
                  <c:v>18.5</c:v>
                </c:pt>
                <c:pt idx="223">
                  <c:v>18.5833333333333</c:v>
                </c:pt>
                <c:pt idx="224">
                  <c:v>18.6666666666667</c:v>
                </c:pt>
                <c:pt idx="225">
                  <c:v>18.75</c:v>
                </c:pt>
                <c:pt idx="226">
                  <c:v>18.8333333333333</c:v>
                </c:pt>
                <c:pt idx="227">
                  <c:v>18.9166666666667</c:v>
                </c:pt>
                <c:pt idx="228">
                  <c:v>19</c:v>
                </c:pt>
                <c:pt idx="229">
                  <c:v>19.0833333333333</c:v>
                </c:pt>
                <c:pt idx="230">
                  <c:v>19.1666666666667</c:v>
                </c:pt>
                <c:pt idx="231">
                  <c:v>19.25</c:v>
                </c:pt>
                <c:pt idx="232">
                  <c:v>19.3333333333333</c:v>
                </c:pt>
                <c:pt idx="233">
                  <c:v>19.4166666666667</c:v>
                </c:pt>
                <c:pt idx="234">
                  <c:v>19.5</c:v>
                </c:pt>
                <c:pt idx="235">
                  <c:v>19.5833333333333</c:v>
                </c:pt>
                <c:pt idx="236">
                  <c:v>19.6666666666667</c:v>
                </c:pt>
                <c:pt idx="237">
                  <c:v>19.75</c:v>
                </c:pt>
                <c:pt idx="238">
                  <c:v>19.8333333333333</c:v>
                </c:pt>
                <c:pt idx="239">
                  <c:v>19.9166666666667</c:v>
                </c:pt>
                <c:pt idx="240">
                  <c:v>20</c:v>
                </c:pt>
                <c:pt idx="241">
                  <c:v>20.0833333333333</c:v>
                </c:pt>
                <c:pt idx="242">
                  <c:v>20.1666666666667</c:v>
                </c:pt>
                <c:pt idx="243">
                  <c:v>20.25</c:v>
                </c:pt>
                <c:pt idx="244">
                  <c:v>20.3333333333333</c:v>
                </c:pt>
                <c:pt idx="245">
                  <c:v>20.4166666666667</c:v>
                </c:pt>
                <c:pt idx="246">
                  <c:v>20.5</c:v>
                </c:pt>
                <c:pt idx="247">
                  <c:v>20.5833333333333</c:v>
                </c:pt>
                <c:pt idx="248">
                  <c:v>20.6666666666667</c:v>
                </c:pt>
                <c:pt idx="249">
                  <c:v>20.75</c:v>
                </c:pt>
                <c:pt idx="250">
                  <c:v>20.8333333333333</c:v>
                </c:pt>
                <c:pt idx="251">
                  <c:v>20.9166666666667</c:v>
                </c:pt>
                <c:pt idx="252">
                  <c:v>21</c:v>
                </c:pt>
                <c:pt idx="253">
                  <c:v>21.0833333333333</c:v>
                </c:pt>
                <c:pt idx="254">
                  <c:v>21.1666666666667</c:v>
                </c:pt>
                <c:pt idx="255">
                  <c:v>21.25</c:v>
                </c:pt>
                <c:pt idx="256">
                  <c:v>21.3333333333333</c:v>
                </c:pt>
                <c:pt idx="257">
                  <c:v>21.4166666666667</c:v>
                </c:pt>
                <c:pt idx="258">
                  <c:v>21.5</c:v>
                </c:pt>
                <c:pt idx="259">
                  <c:v>21.5833333333333</c:v>
                </c:pt>
                <c:pt idx="260">
                  <c:v>21.6666666666667</c:v>
                </c:pt>
                <c:pt idx="261">
                  <c:v>21.75</c:v>
                </c:pt>
                <c:pt idx="262">
                  <c:v>21.8333333333333</c:v>
                </c:pt>
                <c:pt idx="263">
                  <c:v>21.9166666666667</c:v>
                </c:pt>
                <c:pt idx="264">
                  <c:v>22</c:v>
                </c:pt>
                <c:pt idx="265">
                  <c:v>22.0833333333333</c:v>
                </c:pt>
                <c:pt idx="266">
                  <c:v>22.1666666666667</c:v>
                </c:pt>
                <c:pt idx="267">
                  <c:v>22.25</c:v>
                </c:pt>
                <c:pt idx="268">
                  <c:v>22.3333333333333</c:v>
                </c:pt>
                <c:pt idx="269">
                  <c:v>22.4166666666667</c:v>
                </c:pt>
                <c:pt idx="270">
                  <c:v>22.5</c:v>
                </c:pt>
                <c:pt idx="271">
                  <c:v>22.5833333333333</c:v>
                </c:pt>
                <c:pt idx="272">
                  <c:v>22.6666666666667</c:v>
                </c:pt>
                <c:pt idx="273">
                  <c:v>22.75</c:v>
                </c:pt>
                <c:pt idx="274">
                  <c:v>22.8333333333333</c:v>
                </c:pt>
                <c:pt idx="275">
                  <c:v>22.9166666666667</c:v>
                </c:pt>
                <c:pt idx="276">
                  <c:v>23</c:v>
                </c:pt>
                <c:pt idx="277">
                  <c:v>23.0833333333333</c:v>
                </c:pt>
                <c:pt idx="278">
                  <c:v>23.1666666666667</c:v>
                </c:pt>
                <c:pt idx="279">
                  <c:v>23.25</c:v>
                </c:pt>
                <c:pt idx="280">
                  <c:v>23.3333333333333</c:v>
                </c:pt>
                <c:pt idx="281">
                  <c:v>23.4166666666667</c:v>
                </c:pt>
                <c:pt idx="282">
                  <c:v>23.5</c:v>
                </c:pt>
                <c:pt idx="283">
                  <c:v>23.5833333333333</c:v>
                </c:pt>
                <c:pt idx="284">
                  <c:v>23.6666666666667</c:v>
                </c:pt>
                <c:pt idx="285">
                  <c:v>23.75</c:v>
                </c:pt>
                <c:pt idx="286">
                  <c:v>23.8333333333333</c:v>
                </c:pt>
                <c:pt idx="287">
                  <c:v>23.9166666666667</c:v>
                </c:pt>
                <c:pt idx="288">
                  <c:v>24</c:v>
                </c:pt>
                <c:pt idx="289">
                  <c:v>24.0833333333333</c:v>
                </c:pt>
                <c:pt idx="290">
                  <c:v>24.1666666666667</c:v>
                </c:pt>
                <c:pt idx="291">
                  <c:v>24.25</c:v>
                </c:pt>
                <c:pt idx="292">
                  <c:v>24.3333333333333</c:v>
                </c:pt>
                <c:pt idx="293">
                  <c:v>24.4166666666667</c:v>
                </c:pt>
                <c:pt idx="294">
                  <c:v>24.5</c:v>
                </c:pt>
                <c:pt idx="295">
                  <c:v>24.5833333333333</c:v>
                </c:pt>
                <c:pt idx="296">
                  <c:v>24.6666666666667</c:v>
                </c:pt>
                <c:pt idx="297">
                  <c:v>24.75</c:v>
                </c:pt>
                <c:pt idx="298">
                  <c:v>24.8333333333333</c:v>
                </c:pt>
                <c:pt idx="299">
                  <c:v>24.9166666666667</c:v>
                </c:pt>
                <c:pt idx="300">
                  <c:v>25</c:v>
                </c:pt>
                <c:pt idx="301">
                  <c:v>25.0833333333333</c:v>
                </c:pt>
                <c:pt idx="302">
                  <c:v>25.1666666666667</c:v>
                </c:pt>
                <c:pt idx="303">
                  <c:v>25.25</c:v>
                </c:pt>
                <c:pt idx="304">
                  <c:v>25.3333333333333</c:v>
                </c:pt>
                <c:pt idx="305">
                  <c:v>25.4166666666667</c:v>
                </c:pt>
                <c:pt idx="306">
                  <c:v>25.5</c:v>
                </c:pt>
                <c:pt idx="307">
                  <c:v>25.5833333333333</c:v>
                </c:pt>
                <c:pt idx="308">
                  <c:v>25.6666666666667</c:v>
                </c:pt>
                <c:pt idx="309">
                  <c:v>25.75</c:v>
                </c:pt>
                <c:pt idx="310">
                  <c:v>25.8333333333333</c:v>
                </c:pt>
                <c:pt idx="311">
                  <c:v>25.9166666666667</c:v>
                </c:pt>
                <c:pt idx="312">
                  <c:v>26</c:v>
                </c:pt>
                <c:pt idx="313">
                  <c:v>26.0833333333333</c:v>
                </c:pt>
                <c:pt idx="314">
                  <c:v>26.1666666666667</c:v>
                </c:pt>
                <c:pt idx="315">
                  <c:v>26.25</c:v>
                </c:pt>
                <c:pt idx="316">
                  <c:v>26.3333333333333</c:v>
                </c:pt>
                <c:pt idx="317">
                  <c:v>26.4166666666667</c:v>
                </c:pt>
                <c:pt idx="318">
                  <c:v>26.5</c:v>
                </c:pt>
                <c:pt idx="319">
                  <c:v>26.5833333333333</c:v>
                </c:pt>
                <c:pt idx="320">
                  <c:v>26.6666666666667</c:v>
                </c:pt>
                <c:pt idx="321">
                  <c:v>26.75</c:v>
                </c:pt>
                <c:pt idx="322">
                  <c:v>26.8333333333333</c:v>
                </c:pt>
                <c:pt idx="323">
                  <c:v>26.9166666666667</c:v>
                </c:pt>
                <c:pt idx="324">
                  <c:v>27</c:v>
                </c:pt>
                <c:pt idx="325">
                  <c:v>27.0833333333333</c:v>
                </c:pt>
                <c:pt idx="326">
                  <c:v>27.1666666666667</c:v>
                </c:pt>
                <c:pt idx="327">
                  <c:v>27.25</c:v>
                </c:pt>
                <c:pt idx="328">
                  <c:v>27.3333333333333</c:v>
                </c:pt>
                <c:pt idx="329">
                  <c:v>27.4166666666667</c:v>
                </c:pt>
                <c:pt idx="330">
                  <c:v>27.5</c:v>
                </c:pt>
                <c:pt idx="331">
                  <c:v>27.5833333333333</c:v>
                </c:pt>
                <c:pt idx="332">
                  <c:v>27.6666666666667</c:v>
                </c:pt>
                <c:pt idx="333">
                  <c:v>27.75</c:v>
                </c:pt>
                <c:pt idx="334">
                  <c:v>27.8333333333333</c:v>
                </c:pt>
                <c:pt idx="335">
                  <c:v>27.9166666666667</c:v>
                </c:pt>
                <c:pt idx="336">
                  <c:v>28</c:v>
                </c:pt>
                <c:pt idx="337">
                  <c:v>28.0833333333333</c:v>
                </c:pt>
                <c:pt idx="338">
                  <c:v>28.1666666666667</c:v>
                </c:pt>
                <c:pt idx="339">
                  <c:v>28.25</c:v>
                </c:pt>
                <c:pt idx="340">
                  <c:v>28.3333333333333</c:v>
                </c:pt>
                <c:pt idx="341">
                  <c:v>28.4166666666667</c:v>
                </c:pt>
                <c:pt idx="342">
                  <c:v>28.5</c:v>
                </c:pt>
                <c:pt idx="343">
                  <c:v>28.5833333333333</c:v>
                </c:pt>
                <c:pt idx="344">
                  <c:v>28.6666666666667</c:v>
                </c:pt>
                <c:pt idx="345">
                  <c:v>28.75</c:v>
                </c:pt>
                <c:pt idx="346">
                  <c:v>28.8333333333333</c:v>
                </c:pt>
                <c:pt idx="347">
                  <c:v>28.9166666666667</c:v>
                </c:pt>
                <c:pt idx="348">
                  <c:v>29</c:v>
                </c:pt>
                <c:pt idx="349">
                  <c:v>29.0833333333333</c:v>
                </c:pt>
                <c:pt idx="350">
                  <c:v>29.1666666666667</c:v>
                </c:pt>
                <c:pt idx="351">
                  <c:v>29.25</c:v>
                </c:pt>
                <c:pt idx="352">
                  <c:v>29.3333333333333</c:v>
                </c:pt>
                <c:pt idx="353">
                  <c:v>29.4166666666667</c:v>
                </c:pt>
                <c:pt idx="354">
                  <c:v>29.5</c:v>
                </c:pt>
                <c:pt idx="355">
                  <c:v>29.5833333333333</c:v>
                </c:pt>
                <c:pt idx="356">
                  <c:v>29.6666666666667</c:v>
                </c:pt>
                <c:pt idx="357">
                  <c:v>29.75</c:v>
                </c:pt>
                <c:pt idx="358">
                  <c:v>29.8333333333333</c:v>
                </c:pt>
                <c:pt idx="359">
                  <c:v>29.9166666666667</c:v>
                </c:pt>
                <c:pt idx="360">
                  <c:v>30</c:v>
                </c:pt>
              </c:numCache>
            </c:numRef>
          </c:cat>
          <c:val>
            <c:numRef>
              <c:f>Projecao!$F$2:$F$362</c:f>
              <c:numCache>
                <c:formatCode>"R$"\ #,##0</c:formatCode>
                <c:ptCount val="361"/>
                <c:pt idx="0">
                  <c:v>100</c:v>
                </c:pt>
                <c:pt idx="1">
                  <c:v>200.435400628974</c:v>
                </c:pt>
                <c:pt idx="2">
                  <c:v>301.308097624</c:v>
                </c:pt>
                <c:pt idx="3">
                  <c:v>402.619994976205</c:v>
                </c:pt>
                <c:pt idx="4">
                  <c:v>504.373004966708</c:v>
                </c:pt>
                <c:pt idx="5">
                  <c:v>606.56904820271</c:v>
                </c:pt>
                <c:pt idx="6">
                  <c:v>709.210053653748</c:v>
                </c:pt>
                <c:pt idx="7">
                  <c:v>812.297958688105</c:v>
                </c:pt>
                <c:pt idx="8">
                  <c:v>915.834709109378</c:v>
                </c:pt>
                <c:pt idx="9">
                  <c:v>1019.82225919321</c:v>
                </c:pt>
                <c:pt idx="10">
                  <c:v>1124.26257172415</c:v>
                </c:pt>
                <c:pt idx="11">
                  <c:v>1229.15761803276</c:v>
                </c:pt>
                <c:pt idx="12">
                  <c:v>1334.50937803276</c:v>
                </c:pt>
                <c:pt idx="13">
                  <c:v>1334.50937803276</c:v>
                </c:pt>
                <c:pt idx="14">
                  <c:v>1334.50937803276</c:v>
                </c:pt>
                <c:pt idx="15">
                  <c:v>1334.50937803276</c:v>
                </c:pt>
                <c:pt idx="16">
                  <c:v>1334.50937803276</c:v>
                </c:pt>
                <c:pt idx="17">
                  <c:v>1334.50937803276</c:v>
                </c:pt>
                <c:pt idx="18">
                  <c:v>1334.50937803276</c:v>
                </c:pt>
                <c:pt idx="19">
                  <c:v>1334.50937803276</c:v>
                </c:pt>
                <c:pt idx="20">
                  <c:v>1334.50937803276</c:v>
                </c:pt>
                <c:pt idx="21">
                  <c:v>1334.50937803276</c:v>
                </c:pt>
                <c:pt idx="22">
                  <c:v>1334.50937803276</c:v>
                </c:pt>
                <c:pt idx="23">
                  <c:v>1334.50937803276</c:v>
                </c:pt>
                <c:pt idx="24">
                  <c:v>1334.50937803276</c:v>
                </c:pt>
                <c:pt idx="25">
                  <c:v>1334.50937803276</c:v>
                </c:pt>
                <c:pt idx="26">
                  <c:v>1334.50937803276</c:v>
                </c:pt>
                <c:pt idx="27">
                  <c:v>1334.50937803276</c:v>
                </c:pt>
                <c:pt idx="28">
                  <c:v>1334.50937803276</c:v>
                </c:pt>
                <c:pt idx="29">
                  <c:v>1334.50937803276</c:v>
                </c:pt>
                <c:pt idx="30">
                  <c:v>1334.50937803276</c:v>
                </c:pt>
                <c:pt idx="31">
                  <c:v>1334.50937803276</c:v>
                </c:pt>
                <c:pt idx="32">
                  <c:v>1334.50937803276</c:v>
                </c:pt>
                <c:pt idx="33">
                  <c:v>1334.50937803276</c:v>
                </c:pt>
                <c:pt idx="34">
                  <c:v>1334.50937803276</c:v>
                </c:pt>
                <c:pt idx="35">
                  <c:v>1334.50937803276</c:v>
                </c:pt>
                <c:pt idx="36">
                  <c:v>1334.50937803276</c:v>
                </c:pt>
                <c:pt idx="37">
                  <c:v>1334.50937803276</c:v>
                </c:pt>
                <c:pt idx="38">
                  <c:v>1334.50937803276</c:v>
                </c:pt>
                <c:pt idx="39">
                  <c:v>1334.50937803276</c:v>
                </c:pt>
                <c:pt idx="40">
                  <c:v>1334.50937803276</c:v>
                </c:pt>
                <c:pt idx="41">
                  <c:v>1334.50937803276</c:v>
                </c:pt>
                <c:pt idx="42">
                  <c:v>1334.50937803276</c:v>
                </c:pt>
                <c:pt idx="43">
                  <c:v>1334.50937803276</c:v>
                </c:pt>
                <c:pt idx="44">
                  <c:v>1334.50937803276</c:v>
                </c:pt>
                <c:pt idx="45">
                  <c:v>1334.50937803276</c:v>
                </c:pt>
                <c:pt idx="46">
                  <c:v>1334.50937803276</c:v>
                </c:pt>
                <c:pt idx="47">
                  <c:v>1334.50937803276</c:v>
                </c:pt>
                <c:pt idx="48">
                  <c:v>1334.50937803276</c:v>
                </c:pt>
                <c:pt idx="49">
                  <c:v>1334.50937803276</c:v>
                </c:pt>
                <c:pt idx="50">
                  <c:v>1334.50937803276</c:v>
                </c:pt>
                <c:pt idx="51">
                  <c:v>1334.50937803276</c:v>
                </c:pt>
                <c:pt idx="52">
                  <c:v>1334.50937803276</c:v>
                </c:pt>
                <c:pt idx="53">
                  <c:v>1334.50937803276</c:v>
                </c:pt>
                <c:pt idx="54">
                  <c:v>1334.50937803276</c:v>
                </c:pt>
                <c:pt idx="55">
                  <c:v>1334.50937803276</c:v>
                </c:pt>
                <c:pt idx="56">
                  <c:v>1334.50937803276</c:v>
                </c:pt>
                <c:pt idx="57">
                  <c:v>1334.50937803276</c:v>
                </c:pt>
                <c:pt idx="58">
                  <c:v>1334.50937803276</c:v>
                </c:pt>
                <c:pt idx="59">
                  <c:v>1334.50937803276</c:v>
                </c:pt>
                <c:pt idx="60">
                  <c:v>1334.50937803276</c:v>
                </c:pt>
                <c:pt idx="61">
                  <c:v>1334.50937803276</c:v>
                </c:pt>
                <c:pt idx="62">
                  <c:v>1334.50937803276</c:v>
                </c:pt>
                <c:pt idx="63">
                  <c:v>1334.50937803276</c:v>
                </c:pt>
                <c:pt idx="64">
                  <c:v>1334.50937803276</c:v>
                </c:pt>
                <c:pt idx="65">
                  <c:v>1334.50937803276</c:v>
                </c:pt>
                <c:pt idx="66">
                  <c:v>1334.50937803276</c:v>
                </c:pt>
                <c:pt idx="67">
                  <c:v>1334.50937803276</c:v>
                </c:pt>
                <c:pt idx="68">
                  <c:v>1334.50937803276</c:v>
                </c:pt>
                <c:pt idx="69">
                  <c:v>1334.50937803276</c:v>
                </c:pt>
                <c:pt idx="70">
                  <c:v>1334.50937803276</c:v>
                </c:pt>
                <c:pt idx="71">
                  <c:v>1334.50937803276</c:v>
                </c:pt>
                <c:pt idx="72">
                  <c:v>1334.50937803276</c:v>
                </c:pt>
                <c:pt idx="73">
                  <c:v>1334.50937803276</c:v>
                </c:pt>
                <c:pt idx="74">
                  <c:v>1334.50937803276</c:v>
                </c:pt>
                <c:pt idx="75">
                  <c:v>1334.50937803276</c:v>
                </c:pt>
                <c:pt idx="76">
                  <c:v>1334.50937803276</c:v>
                </c:pt>
                <c:pt idx="77">
                  <c:v>1334.50937803276</c:v>
                </c:pt>
                <c:pt idx="78">
                  <c:v>1334.50937803276</c:v>
                </c:pt>
                <c:pt idx="79">
                  <c:v>1334.50937803276</c:v>
                </c:pt>
                <c:pt idx="80">
                  <c:v>1334.50937803276</c:v>
                </c:pt>
                <c:pt idx="81">
                  <c:v>1334.50937803276</c:v>
                </c:pt>
                <c:pt idx="82">
                  <c:v>1334.50937803276</c:v>
                </c:pt>
                <c:pt idx="83">
                  <c:v>1334.50937803276</c:v>
                </c:pt>
                <c:pt idx="84">
                  <c:v>1334.50937803276</c:v>
                </c:pt>
                <c:pt idx="85">
                  <c:v>1334.50937803276</c:v>
                </c:pt>
                <c:pt idx="86">
                  <c:v>1334.50937803276</c:v>
                </c:pt>
                <c:pt idx="87">
                  <c:v>1334.50937803276</c:v>
                </c:pt>
                <c:pt idx="88">
                  <c:v>1334.50937803276</c:v>
                </c:pt>
                <c:pt idx="89">
                  <c:v>1334.50937803276</c:v>
                </c:pt>
                <c:pt idx="90">
                  <c:v>1334.50937803276</c:v>
                </c:pt>
                <c:pt idx="91">
                  <c:v>1334.50937803276</c:v>
                </c:pt>
                <c:pt idx="92">
                  <c:v>1334.50937803276</c:v>
                </c:pt>
                <c:pt idx="93">
                  <c:v>1334.50937803276</c:v>
                </c:pt>
                <c:pt idx="94">
                  <c:v>1334.50937803276</c:v>
                </c:pt>
                <c:pt idx="95">
                  <c:v>1334.50937803276</c:v>
                </c:pt>
                <c:pt idx="96">
                  <c:v>1334.50937803276</c:v>
                </c:pt>
                <c:pt idx="97">
                  <c:v>1334.50937803276</c:v>
                </c:pt>
                <c:pt idx="98">
                  <c:v>1334.50937803276</c:v>
                </c:pt>
                <c:pt idx="99">
                  <c:v>1334.50937803276</c:v>
                </c:pt>
                <c:pt idx="100">
                  <c:v>1334.50937803276</c:v>
                </c:pt>
                <c:pt idx="101">
                  <c:v>1334.50937803276</c:v>
                </c:pt>
                <c:pt idx="102">
                  <c:v>1334.50937803276</c:v>
                </c:pt>
                <c:pt idx="103">
                  <c:v>1334.50937803276</c:v>
                </c:pt>
                <c:pt idx="104">
                  <c:v>1334.50937803276</c:v>
                </c:pt>
                <c:pt idx="105">
                  <c:v>1334.50937803276</c:v>
                </c:pt>
                <c:pt idx="106">
                  <c:v>1334.50937803276</c:v>
                </c:pt>
                <c:pt idx="107">
                  <c:v>1334.50937803276</c:v>
                </c:pt>
                <c:pt idx="108">
                  <c:v>1334.50937803276</c:v>
                </c:pt>
                <c:pt idx="109">
                  <c:v>1334.50937803276</c:v>
                </c:pt>
                <c:pt idx="110">
                  <c:v>1334.50937803276</c:v>
                </c:pt>
                <c:pt idx="111">
                  <c:v>1334.50937803276</c:v>
                </c:pt>
                <c:pt idx="112">
                  <c:v>1334.50937803276</c:v>
                </c:pt>
                <c:pt idx="113">
                  <c:v>1334.50937803276</c:v>
                </c:pt>
                <c:pt idx="114">
                  <c:v>1334.50937803276</c:v>
                </c:pt>
                <c:pt idx="115">
                  <c:v>1334.50937803276</c:v>
                </c:pt>
                <c:pt idx="116">
                  <c:v>1334.50937803276</c:v>
                </c:pt>
                <c:pt idx="117">
                  <c:v>1334.50937803276</c:v>
                </c:pt>
                <c:pt idx="118">
                  <c:v>1334.50937803276</c:v>
                </c:pt>
                <c:pt idx="119">
                  <c:v>1334.50937803276</c:v>
                </c:pt>
                <c:pt idx="120">
                  <c:v>1334.50937803276</c:v>
                </c:pt>
                <c:pt idx="121">
                  <c:v>1334.50937803276</c:v>
                </c:pt>
                <c:pt idx="122">
                  <c:v>1334.50937803276</c:v>
                </c:pt>
                <c:pt idx="123">
                  <c:v>1334.50937803276</c:v>
                </c:pt>
                <c:pt idx="124">
                  <c:v>1334.50937803276</c:v>
                </c:pt>
                <c:pt idx="125">
                  <c:v>1334.50937803276</c:v>
                </c:pt>
                <c:pt idx="126">
                  <c:v>1334.50937803276</c:v>
                </c:pt>
                <c:pt idx="127">
                  <c:v>1334.50937803276</c:v>
                </c:pt>
                <c:pt idx="128">
                  <c:v>1334.50937803276</c:v>
                </c:pt>
                <c:pt idx="129">
                  <c:v>1334.50937803276</c:v>
                </c:pt>
                <c:pt idx="130">
                  <c:v>1334.50937803276</c:v>
                </c:pt>
                <c:pt idx="131">
                  <c:v>1334.50937803276</c:v>
                </c:pt>
                <c:pt idx="132">
                  <c:v>1334.50937803276</c:v>
                </c:pt>
                <c:pt idx="133">
                  <c:v>1334.50937803276</c:v>
                </c:pt>
                <c:pt idx="134">
                  <c:v>1334.50937803276</c:v>
                </c:pt>
                <c:pt idx="135">
                  <c:v>1334.50937803276</c:v>
                </c:pt>
                <c:pt idx="136">
                  <c:v>1334.50937803276</c:v>
                </c:pt>
                <c:pt idx="137">
                  <c:v>1334.50937803276</c:v>
                </c:pt>
                <c:pt idx="138">
                  <c:v>1334.50937803276</c:v>
                </c:pt>
                <c:pt idx="139">
                  <c:v>1334.50937803276</c:v>
                </c:pt>
                <c:pt idx="140">
                  <c:v>1334.50937803276</c:v>
                </c:pt>
                <c:pt idx="141">
                  <c:v>1334.50937803276</c:v>
                </c:pt>
                <c:pt idx="142">
                  <c:v>1334.50937803276</c:v>
                </c:pt>
                <c:pt idx="143">
                  <c:v>1334.50937803276</c:v>
                </c:pt>
                <c:pt idx="144">
                  <c:v>1334.50937803276</c:v>
                </c:pt>
                <c:pt idx="145">
                  <c:v>1334.50937803276</c:v>
                </c:pt>
                <c:pt idx="146">
                  <c:v>1334.50937803276</c:v>
                </c:pt>
                <c:pt idx="147">
                  <c:v>1334.50937803276</c:v>
                </c:pt>
                <c:pt idx="148">
                  <c:v>1334.50937803276</c:v>
                </c:pt>
                <c:pt idx="149">
                  <c:v>1334.50937803276</c:v>
                </c:pt>
                <c:pt idx="150">
                  <c:v>1334.50937803276</c:v>
                </c:pt>
                <c:pt idx="151">
                  <c:v>1334.50937803276</c:v>
                </c:pt>
                <c:pt idx="152">
                  <c:v>1334.50937803276</c:v>
                </c:pt>
                <c:pt idx="153">
                  <c:v>1334.50937803276</c:v>
                </c:pt>
                <c:pt idx="154">
                  <c:v>1334.50937803276</c:v>
                </c:pt>
                <c:pt idx="155">
                  <c:v>1334.50937803276</c:v>
                </c:pt>
                <c:pt idx="156">
                  <c:v>1334.50937803276</c:v>
                </c:pt>
                <c:pt idx="157">
                  <c:v>1334.50937803276</c:v>
                </c:pt>
                <c:pt idx="158">
                  <c:v>1334.50937803276</c:v>
                </c:pt>
                <c:pt idx="159">
                  <c:v>1334.50937803276</c:v>
                </c:pt>
                <c:pt idx="160">
                  <c:v>1334.50937803276</c:v>
                </c:pt>
                <c:pt idx="161">
                  <c:v>1334.50937803276</c:v>
                </c:pt>
                <c:pt idx="162">
                  <c:v>1334.50937803276</c:v>
                </c:pt>
                <c:pt idx="163">
                  <c:v>1334.50937803276</c:v>
                </c:pt>
                <c:pt idx="164">
                  <c:v>1334.50937803276</c:v>
                </c:pt>
                <c:pt idx="165">
                  <c:v>1334.50937803276</c:v>
                </c:pt>
                <c:pt idx="166">
                  <c:v>1334.50937803276</c:v>
                </c:pt>
                <c:pt idx="167">
                  <c:v>1334.50937803276</c:v>
                </c:pt>
                <c:pt idx="168">
                  <c:v>1334.50937803276</c:v>
                </c:pt>
                <c:pt idx="169">
                  <c:v>1334.50937803276</c:v>
                </c:pt>
                <c:pt idx="170">
                  <c:v>1334.50937803276</c:v>
                </c:pt>
                <c:pt idx="171">
                  <c:v>1334.50937803276</c:v>
                </c:pt>
                <c:pt idx="172">
                  <c:v>1334.50937803276</c:v>
                </c:pt>
                <c:pt idx="173">
                  <c:v>1334.50937803276</c:v>
                </c:pt>
                <c:pt idx="174">
                  <c:v>1334.50937803276</c:v>
                </c:pt>
                <c:pt idx="175">
                  <c:v>1334.50937803276</c:v>
                </c:pt>
                <c:pt idx="176">
                  <c:v>1334.50937803276</c:v>
                </c:pt>
                <c:pt idx="177">
                  <c:v>1334.50937803276</c:v>
                </c:pt>
                <c:pt idx="178">
                  <c:v>1334.50937803276</c:v>
                </c:pt>
                <c:pt idx="179">
                  <c:v>1334.50937803276</c:v>
                </c:pt>
                <c:pt idx="180">
                  <c:v>1334.50937803276</c:v>
                </c:pt>
                <c:pt idx="181">
                  <c:v>1334.50937803276</c:v>
                </c:pt>
                <c:pt idx="182">
                  <c:v>1334.50937803276</c:v>
                </c:pt>
                <c:pt idx="183">
                  <c:v>1334.50937803276</c:v>
                </c:pt>
                <c:pt idx="184">
                  <c:v>1334.50937803276</c:v>
                </c:pt>
                <c:pt idx="185">
                  <c:v>1334.50937803276</c:v>
                </c:pt>
                <c:pt idx="186">
                  <c:v>1334.50937803276</c:v>
                </c:pt>
                <c:pt idx="187">
                  <c:v>1334.50937803276</c:v>
                </c:pt>
                <c:pt idx="188">
                  <c:v>1334.50937803276</c:v>
                </c:pt>
                <c:pt idx="189">
                  <c:v>1334.50937803276</c:v>
                </c:pt>
                <c:pt idx="190">
                  <c:v>1334.50937803276</c:v>
                </c:pt>
                <c:pt idx="191">
                  <c:v>1334.50937803276</c:v>
                </c:pt>
                <c:pt idx="192">
                  <c:v>1334.50937803276</c:v>
                </c:pt>
                <c:pt idx="193">
                  <c:v>1334.50937803276</c:v>
                </c:pt>
                <c:pt idx="194">
                  <c:v>1334.50937803276</c:v>
                </c:pt>
                <c:pt idx="195">
                  <c:v>1334.50937803276</c:v>
                </c:pt>
                <c:pt idx="196">
                  <c:v>1334.50937803276</c:v>
                </c:pt>
                <c:pt idx="197">
                  <c:v>1334.50937803276</c:v>
                </c:pt>
                <c:pt idx="198">
                  <c:v>1334.50937803276</c:v>
                </c:pt>
                <c:pt idx="199">
                  <c:v>1334.50937803276</c:v>
                </c:pt>
                <c:pt idx="200">
                  <c:v>1334.50937803276</c:v>
                </c:pt>
                <c:pt idx="201">
                  <c:v>1334.50937803276</c:v>
                </c:pt>
                <c:pt idx="202">
                  <c:v>1334.50937803276</c:v>
                </c:pt>
                <c:pt idx="203">
                  <c:v>1334.50937803276</c:v>
                </c:pt>
                <c:pt idx="204">
                  <c:v>1334.50937803276</c:v>
                </c:pt>
                <c:pt idx="205">
                  <c:v>1334.50937803276</c:v>
                </c:pt>
                <c:pt idx="206">
                  <c:v>1334.50937803276</c:v>
                </c:pt>
                <c:pt idx="207">
                  <c:v>1334.50937803276</c:v>
                </c:pt>
                <c:pt idx="208">
                  <c:v>1334.50937803276</c:v>
                </c:pt>
                <c:pt idx="209">
                  <c:v>1334.50937803276</c:v>
                </c:pt>
                <c:pt idx="210">
                  <c:v>1334.50937803276</c:v>
                </c:pt>
                <c:pt idx="211">
                  <c:v>1334.50937803276</c:v>
                </c:pt>
                <c:pt idx="212">
                  <c:v>1334.50937803276</c:v>
                </c:pt>
                <c:pt idx="213">
                  <c:v>1334.50937803276</c:v>
                </c:pt>
                <c:pt idx="214">
                  <c:v>1334.50937803276</c:v>
                </c:pt>
                <c:pt idx="215">
                  <c:v>1334.50937803276</c:v>
                </c:pt>
                <c:pt idx="216">
                  <c:v>1334.50937803276</c:v>
                </c:pt>
                <c:pt idx="217">
                  <c:v>1334.50937803276</c:v>
                </c:pt>
                <c:pt idx="218">
                  <c:v>1334.50937803276</c:v>
                </c:pt>
                <c:pt idx="219">
                  <c:v>1334.50937803276</c:v>
                </c:pt>
                <c:pt idx="220">
                  <c:v>1334.50937803276</c:v>
                </c:pt>
                <c:pt idx="221">
                  <c:v>1334.50937803276</c:v>
                </c:pt>
                <c:pt idx="222">
                  <c:v>1334.50937803276</c:v>
                </c:pt>
                <c:pt idx="223">
                  <c:v>1334.50937803276</c:v>
                </c:pt>
                <c:pt idx="224">
                  <c:v>1334.50937803276</c:v>
                </c:pt>
                <c:pt idx="225">
                  <c:v>1334.50937803276</c:v>
                </c:pt>
                <c:pt idx="226">
                  <c:v>1334.50937803276</c:v>
                </c:pt>
                <c:pt idx="227">
                  <c:v>1334.50937803276</c:v>
                </c:pt>
                <c:pt idx="228">
                  <c:v>1334.50937803276</c:v>
                </c:pt>
                <c:pt idx="229">
                  <c:v>1334.50937803276</c:v>
                </c:pt>
                <c:pt idx="230">
                  <c:v>1334.50937803276</c:v>
                </c:pt>
                <c:pt idx="231">
                  <c:v>1334.50937803276</c:v>
                </c:pt>
                <c:pt idx="232">
                  <c:v>1334.50937803276</c:v>
                </c:pt>
                <c:pt idx="233">
                  <c:v>1334.50937803276</c:v>
                </c:pt>
                <c:pt idx="234">
                  <c:v>1334.50937803276</c:v>
                </c:pt>
                <c:pt idx="235">
                  <c:v>1334.50937803276</c:v>
                </c:pt>
                <c:pt idx="236">
                  <c:v>1334.50937803276</c:v>
                </c:pt>
                <c:pt idx="237">
                  <c:v>1334.50937803276</c:v>
                </c:pt>
                <c:pt idx="238">
                  <c:v>1334.50937803276</c:v>
                </c:pt>
                <c:pt idx="239">
                  <c:v>1334.50937803276</c:v>
                </c:pt>
                <c:pt idx="240">
                  <c:v>1334.50937803276</c:v>
                </c:pt>
                <c:pt idx="241">
                  <c:v>1334.50937803276</c:v>
                </c:pt>
                <c:pt idx="242">
                  <c:v>1334.50937803276</c:v>
                </c:pt>
                <c:pt idx="243">
                  <c:v>1334.50937803276</c:v>
                </c:pt>
                <c:pt idx="244">
                  <c:v>1334.50937803276</c:v>
                </c:pt>
                <c:pt idx="245">
                  <c:v>1334.50937803276</c:v>
                </c:pt>
                <c:pt idx="246">
                  <c:v>1334.50937803276</c:v>
                </c:pt>
                <c:pt idx="247">
                  <c:v>1334.50937803276</c:v>
                </c:pt>
                <c:pt idx="248">
                  <c:v>1334.50937803276</c:v>
                </c:pt>
                <c:pt idx="249">
                  <c:v>1334.50937803276</c:v>
                </c:pt>
                <c:pt idx="250">
                  <c:v>1334.50937803276</c:v>
                </c:pt>
                <c:pt idx="251">
                  <c:v>1334.50937803276</c:v>
                </c:pt>
                <c:pt idx="252">
                  <c:v>1334.50937803276</c:v>
                </c:pt>
                <c:pt idx="253">
                  <c:v>1334.50937803276</c:v>
                </c:pt>
                <c:pt idx="254">
                  <c:v>1334.50937803276</c:v>
                </c:pt>
                <c:pt idx="255">
                  <c:v>1334.50937803276</c:v>
                </c:pt>
                <c:pt idx="256">
                  <c:v>1334.50937803276</c:v>
                </c:pt>
                <c:pt idx="257">
                  <c:v>1334.50937803276</c:v>
                </c:pt>
                <c:pt idx="258">
                  <c:v>1334.50937803276</c:v>
                </c:pt>
                <c:pt idx="259">
                  <c:v>1334.50937803276</c:v>
                </c:pt>
                <c:pt idx="260">
                  <c:v>1334.50937803276</c:v>
                </c:pt>
                <c:pt idx="261">
                  <c:v>1334.50937803276</c:v>
                </c:pt>
                <c:pt idx="262">
                  <c:v>1334.50937803276</c:v>
                </c:pt>
                <c:pt idx="263">
                  <c:v>1334.50937803276</c:v>
                </c:pt>
                <c:pt idx="264">
                  <c:v>1334.50937803276</c:v>
                </c:pt>
                <c:pt idx="265">
                  <c:v>1334.50937803276</c:v>
                </c:pt>
                <c:pt idx="266">
                  <c:v>1334.50937803276</c:v>
                </c:pt>
                <c:pt idx="267">
                  <c:v>1334.50937803276</c:v>
                </c:pt>
                <c:pt idx="268">
                  <c:v>1334.50937803276</c:v>
                </c:pt>
                <c:pt idx="269">
                  <c:v>1334.50937803276</c:v>
                </c:pt>
                <c:pt idx="270">
                  <c:v>1334.50937803276</c:v>
                </c:pt>
                <c:pt idx="271">
                  <c:v>1334.50937803276</c:v>
                </c:pt>
                <c:pt idx="272">
                  <c:v>1334.50937803276</c:v>
                </c:pt>
                <c:pt idx="273">
                  <c:v>1334.50937803276</c:v>
                </c:pt>
                <c:pt idx="274">
                  <c:v>1334.50937803276</c:v>
                </c:pt>
                <c:pt idx="275">
                  <c:v>1334.50937803276</c:v>
                </c:pt>
                <c:pt idx="276">
                  <c:v>1334.50937803276</c:v>
                </c:pt>
                <c:pt idx="277">
                  <c:v>1334.50937803276</c:v>
                </c:pt>
                <c:pt idx="278">
                  <c:v>1334.50937803276</c:v>
                </c:pt>
                <c:pt idx="279">
                  <c:v>1334.50937803276</c:v>
                </c:pt>
                <c:pt idx="280">
                  <c:v>1334.50937803276</c:v>
                </c:pt>
                <c:pt idx="281">
                  <c:v>1334.50937803276</c:v>
                </c:pt>
                <c:pt idx="282">
                  <c:v>1334.50937803276</c:v>
                </c:pt>
                <c:pt idx="283">
                  <c:v>1334.50937803276</c:v>
                </c:pt>
                <c:pt idx="284">
                  <c:v>1334.50937803276</c:v>
                </c:pt>
                <c:pt idx="285">
                  <c:v>1334.50937803276</c:v>
                </c:pt>
                <c:pt idx="286">
                  <c:v>1334.50937803276</c:v>
                </c:pt>
                <c:pt idx="287">
                  <c:v>1334.50937803276</c:v>
                </c:pt>
                <c:pt idx="288">
                  <c:v>1334.50937803276</c:v>
                </c:pt>
                <c:pt idx="289">
                  <c:v>1334.50937803276</c:v>
                </c:pt>
                <c:pt idx="290">
                  <c:v>1334.50937803276</c:v>
                </c:pt>
                <c:pt idx="291">
                  <c:v>1334.50937803276</c:v>
                </c:pt>
                <c:pt idx="292">
                  <c:v>1334.50937803276</c:v>
                </c:pt>
                <c:pt idx="293">
                  <c:v>1334.50937803276</c:v>
                </c:pt>
                <c:pt idx="294">
                  <c:v>1334.50937803276</c:v>
                </c:pt>
                <c:pt idx="295">
                  <c:v>1334.50937803276</c:v>
                </c:pt>
                <c:pt idx="296">
                  <c:v>1334.50937803276</c:v>
                </c:pt>
                <c:pt idx="297">
                  <c:v>1334.50937803276</c:v>
                </c:pt>
                <c:pt idx="298">
                  <c:v>1334.50937803276</c:v>
                </c:pt>
                <c:pt idx="299">
                  <c:v>1334.50937803276</c:v>
                </c:pt>
                <c:pt idx="300">
                  <c:v>1334.50937803276</c:v>
                </c:pt>
                <c:pt idx="301">
                  <c:v>1334.50937803276</c:v>
                </c:pt>
                <c:pt idx="302">
                  <c:v>1334.50937803276</c:v>
                </c:pt>
                <c:pt idx="303">
                  <c:v>1334.50937803276</c:v>
                </c:pt>
                <c:pt idx="304">
                  <c:v>1334.50937803276</c:v>
                </c:pt>
                <c:pt idx="305">
                  <c:v>1334.50937803276</c:v>
                </c:pt>
                <c:pt idx="306">
                  <c:v>1334.50937803276</c:v>
                </c:pt>
                <c:pt idx="307">
                  <c:v>1334.50937803276</c:v>
                </c:pt>
                <c:pt idx="308">
                  <c:v>1334.50937803276</c:v>
                </c:pt>
                <c:pt idx="309">
                  <c:v>1334.50937803276</c:v>
                </c:pt>
                <c:pt idx="310">
                  <c:v>1334.50937803276</c:v>
                </c:pt>
                <c:pt idx="311">
                  <c:v>1334.50937803276</c:v>
                </c:pt>
                <c:pt idx="312">
                  <c:v>1334.50937803276</c:v>
                </c:pt>
                <c:pt idx="313">
                  <c:v>1334.50937803276</c:v>
                </c:pt>
                <c:pt idx="314">
                  <c:v>1334.50937803276</c:v>
                </c:pt>
                <c:pt idx="315">
                  <c:v>1334.50937803276</c:v>
                </c:pt>
                <c:pt idx="316">
                  <c:v>1334.50937803276</c:v>
                </c:pt>
                <c:pt idx="317">
                  <c:v>1334.50937803276</c:v>
                </c:pt>
                <c:pt idx="318">
                  <c:v>1334.50937803276</c:v>
                </c:pt>
                <c:pt idx="319">
                  <c:v>1334.50937803276</c:v>
                </c:pt>
                <c:pt idx="320">
                  <c:v>1334.50937803276</c:v>
                </c:pt>
                <c:pt idx="321">
                  <c:v>1334.50937803276</c:v>
                </c:pt>
                <c:pt idx="322">
                  <c:v>1334.50937803276</c:v>
                </c:pt>
                <c:pt idx="323">
                  <c:v>1334.50937803276</c:v>
                </c:pt>
                <c:pt idx="324">
                  <c:v>1334.50937803276</c:v>
                </c:pt>
                <c:pt idx="325">
                  <c:v>1334.50937803276</c:v>
                </c:pt>
                <c:pt idx="326">
                  <c:v>1334.50937803276</c:v>
                </c:pt>
                <c:pt idx="327">
                  <c:v>1334.50937803276</c:v>
                </c:pt>
                <c:pt idx="328">
                  <c:v>1334.50937803276</c:v>
                </c:pt>
                <c:pt idx="329">
                  <c:v>1334.50937803276</c:v>
                </c:pt>
                <c:pt idx="330">
                  <c:v>1334.50937803276</c:v>
                </c:pt>
                <c:pt idx="331">
                  <c:v>1334.50937803276</c:v>
                </c:pt>
                <c:pt idx="332">
                  <c:v>1334.50937803276</c:v>
                </c:pt>
                <c:pt idx="333">
                  <c:v>1334.50937803276</c:v>
                </c:pt>
                <c:pt idx="334">
                  <c:v>1334.50937803276</c:v>
                </c:pt>
                <c:pt idx="335">
                  <c:v>1334.50937803276</c:v>
                </c:pt>
                <c:pt idx="336">
                  <c:v>1334.50937803276</c:v>
                </c:pt>
                <c:pt idx="337">
                  <c:v>1334.50937803276</c:v>
                </c:pt>
                <c:pt idx="338">
                  <c:v>1334.50937803276</c:v>
                </c:pt>
                <c:pt idx="339">
                  <c:v>1334.50937803276</c:v>
                </c:pt>
                <c:pt idx="340">
                  <c:v>1334.50937803276</c:v>
                </c:pt>
                <c:pt idx="341">
                  <c:v>1334.50937803276</c:v>
                </c:pt>
                <c:pt idx="342">
                  <c:v>1334.50937803276</c:v>
                </c:pt>
                <c:pt idx="343">
                  <c:v>1334.50937803276</c:v>
                </c:pt>
                <c:pt idx="344">
                  <c:v>1334.50937803276</c:v>
                </c:pt>
                <c:pt idx="345">
                  <c:v>1334.50937803276</c:v>
                </c:pt>
                <c:pt idx="346">
                  <c:v>1334.50937803276</c:v>
                </c:pt>
                <c:pt idx="347">
                  <c:v>1334.50937803276</c:v>
                </c:pt>
                <c:pt idx="348">
                  <c:v>1334.50937803276</c:v>
                </c:pt>
                <c:pt idx="349">
                  <c:v>1334.50937803276</c:v>
                </c:pt>
                <c:pt idx="350">
                  <c:v>1334.50937803276</c:v>
                </c:pt>
                <c:pt idx="351">
                  <c:v>1334.50937803276</c:v>
                </c:pt>
                <c:pt idx="352">
                  <c:v>1334.50937803276</c:v>
                </c:pt>
                <c:pt idx="353">
                  <c:v>1334.50937803276</c:v>
                </c:pt>
                <c:pt idx="354">
                  <c:v>1334.50937803276</c:v>
                </c:pt>
                <c:pt idx="355">
                  <c:v>1334.50937803276</c:v>
                </c:pt>
                <c:pt idx="356">
                  <c:v>1334.50937803276</c:v>
                </c:pt>
                <c:pt idx="357">
                  <c:v>1334.50937803276</c:v>
                </c:pt>
                <c:pt idx="358">
                  <c:v>1334.50937803276</c:v>
                </c:pt>
                <c:pt idx="359">
                  <c:v>1334.50937803276</c:v>
                </c:pt>
                <c:pt idx="360">
                  <c:v>1334.50937803276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1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pt-BR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Ano</a:t>
                </a:r>
              </a:p>
            </c:rich>
          </c:tx>
          <c:layout/>
          <c:overlay val="0"/>
        </c:title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pt-BR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0"/>
        <c:crosses val="autoZero"/>
        <c:auto val="1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pt-BR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Valor (R$)</a:t>
                </a:r>
              </a:p>
            </c:rich>
          </c:tx>
          <c:layout/>
          <c:overlay val="0"/>
        </c:title>
        <c:numFmt formatCode="&quot;R$&quot;\ #,##0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pt-BR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"/>
        <c:crosses val="autoZero"/>
        <c:crossBetween val="between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pt-BR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30e63f26-aacd-402e-af2a-57e2e5ff89d8}"/>
      </c:ext>
    </c:extLst>
  </c:chart>
  <c:txPr>
    <a:bodyPr/>
    <a:lstStyle/>
    <a:p>
      <a:pPr>
        <a:defRPr lang="pt-BR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pt-BR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Alocação Sugerida da Carteira</a:t>
            </a:r>
          </a:p>
        </c:rich>
      </c:tx>
      <c:layout/>
      <c:overlay val="0"/>
    </c:title>
    <c:autoTitleDeleted val="0"/>
    <c:plotArea>
      <c:layout/>
      <c:pieChart>
        <c:varyColors val="1"/>
        <c:ser>
          <c:idx val="0"/>
          <c:order val="0"/>
          <c:spPr>
            <a:ln>
              <a:noFill/>
              <a:prstDash val="solid"/>
            </a:ln>
          </c:spPr>
          <c:explosion val="0"/>
          <c:dPt>
            <c:idx val="0"/>
            <c:bubble3D val="0"/>
            <c:spPr>
              <a:ln>
                <a:noFill/>
                <a:prstDash val="solid"/>
              </a:ln>
            </c:spPr>
          </c:dPt>
          <c:dPt>
            <c:idx val="1"/>
            <c:bubble3D val="0"/>
            <c:spPr>
              <a:ln>
                <a:noFill/>
                <a:prstDash val="solid"/>
              </a:ln>
            </c:spPr>
          </c:dPt>
          <c:dPt>
            <c:idx val="2"/>
            <c:bubble3D val="0"/>
            <c:spPr>
              <a:ln>
                <a:noFill/>
                <a:prstDash val="solid"/>
              </a:ln>
            </c:spPr>
          </c:dPt>
          <c:dPt>
            <c:idx val="3"/>
            <c:bubble3D val="0"/>
            <c:spPr>
              <a:ln>
                <a:noFill/>
                <a:prstDash val="solid"/>
              </a:ln>
            </c:spPr>
          </c:dPt>
          <c:dPt>
            <c:idx val="4"/>
            <c:bubble3D val="0"/>
            <c:spPr>
              <a:ln>
                <a:noFill/>
                <a:prstDash val="solid"/>
              </a:ln>
            </c:spPr>
          </c:dPt>
          <c:dPt>
            <c:idx val="5"/>
            <c:bubble3D val="0"/>
            <c:spPr>
              <a:ln>
                <a:noFill/>
                <a:prstDash val="solid"/>
              </a:ln>
            </c:spPr>
          </c:dPt>
          <c:dLbls>
            <c:delete val="1"/>
          </c:dLbls>
          <c:cat>
            <c:strRef>
              <c:f>Dados_Cliente!$A$14:$A$19</c:f>
              <c:strCache>
                <c:ptCount val="6"/>
                <c:pt idx="0">
                  <c:v>Renda Fixa Pós-fixada (CDI / Tesouro Selic)</c:v>
                </c:pt>
                <c:pt idx="1">
                  <c:v>Renda Fixa Prefixada / Inflação</c:v>
                </c:pt>
                <c:pt idx="2">
                  <c:v>Fundos Multimercado</c:v>
                </c:pt>
                <c:pt idx="3">
                  <c:v>Ações Brasil</c:v>
                </c:pt>
                <c:pt idx="4">
                  <c:v>Ações Globais</c:v>
                </c:pt>
                <c:pt idx="5">
                  <c:v>Fundos Imobiliários (FIIs)</c:v>
                </c:pt>
              </c:strCache>
            </c:strRef>
          </c:cat>
          <c:val>
            <c:numRef>
              <c:f>Dados_Cliente!$B$14:$B$19</c:f>
              <c:numCache>
                <c:formatCode>0.0%</c:formatCode>
                <c:ptCount val="6"/>
                <c:pt idx="0">
                  <c:v>0.6</c:v>
                </c:pt>
                <c:pt idx="1">
                  <c:v>0.3</c:v>
                </c:pt>
                <c:pt idx="2">
                  <c:v>0.1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pt-BR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ee4a1f4d-f498-414c-bf10-05fa976228fb}"/>
      </c:ext>
    </c:extLst>
  </c:chart>
  <c:txPr>
    <a:bodyPr/>
    <a:lstStyle/>
    <a:p>
      <a:pPr>
        <a:defRPr lang="pt-BR"/>
      </a:pPr>
    </a:p>
  </c:txPr>
  <c:printSettings>
    <c:headerFooter/>
    <c:pageMargins b="0.75" l="0.7" r="0.7" t="0.75" header="0.3" footer="0.3"/>
    <c:pageSetup/>
  </c:printSettings>
</c:chartSpace>
</file>

<file path=xl/customStorage/customStorage.xml><?xml version="1.0" encoding="utf-8"?>
<customStorage xmlns="https://web.wps.cn/et/2018/main">
  <book/>
  <sheets/>
</customStorag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3</xdr:col>
      <xdr:colOff>0</xdr:colOff>
      <xdr:row>2</xdr:row>
      <xdr:rowOff>0</xdr:rowOff>
    </xdr:from>
    <xdr:ext cx="7200000" cy="3240000"/>
    <xdr:graphicFrame>
      <xdr:nvGraphicFramePr>
        <xdr:cNvPr id="2" name="Chart 1"/>
        <xdr:cNvGraphicFramePr/>
      </xdr:nvGraphicFramePr>
      <xdr:xfrm>
        <a:off x="4867275" y="428625"/>
        <a:ext cx="7199630" cy="323977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3</xdr:col>
      <xdr:colOff>0</xdr:colOff>
      <xdr:row>21</xdr:row>
      <xdr:rowOff>0</xdr:rowOff>
    </xdr:from>
    <xdr:ext cx="4320000" cy="3240000"/>
    <xdr:graphicFrame>
      <xdr:nvGraphicFramePr>
        <xdr:cNvPr id="3" name="Chart 2"/>
        <xdr:cNvGraphicFramePr/>
      </xdr:nvGraphicFramePr>
      <xdr:xfrm>
        <a:off x="4867275" y="4048125"/>
        <a:ext cx="4319905" cy="323977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0"/>
  <sheetViews>
    <sheetView tabSelected="1" workbookViewId="0">
      <selection activeCell="A5" sqref="A5"/>
    </sheetView>
  </sheetViews>
  <sheetFormatPr defaultColWidth="9" defaultRowHeight="15"/>
  <cols>
    <col min="1" max="1" width="100" customWidth="1"/>
  </cols>
  <sheetData>
    <row r="1" ht="18.75" spans="1:1">
      <c r="A1" s="3" t="s">
        <v>0</v>
      </c>
    </row>
    <row r="3" spans="1:1">
      <c r="A3" s="4" t="s">
        <v>1</v>
      </c>
    </row>
    <row r="4" spans="1:1">
      <c r="A4" t="s">
        <v>2</v>
      </c>
    </row>
    <row r="5" spans="1:1">
      <c r="A5" t="s">
        <v>3</v>
      </c>
    </row>
    <row r="6" spans="1:1">
      <c r="A6" t="s">
        <v>4</v>
      </c>
    </row>
    <row r="7" spans="1:1">
      <c r="A7" t="s">
        <v>5</v>
      </c>
    </row>
    <row r="8" spans="1:1">
      <c r="A8" t="s">
        <v>6</v>
      </c>
    </row>
    <row r="9" spans="1:1">
      <c r="A9" t="s">
        <v>7</v>
      </c>
    </row>
    <row r="10" spans="1:1">
      <c r="A10" t="s">
        <v>8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4"/>
  <sheetViews>
    <sheetView workbookViewId="0">
      <selection activeCell="A1" sqref="A1"/>
    </sheetView>
  </sheetViews>
  <sheetFormatPr defaultColWidth="9" defaultRowHeight="15" outlineLevelCol="4"/>
  <cols>
    <col min="1" max="1" width="20" customWidth="1"/>
    <col min="2" max="2" width="42" customWidth="1"/>
    <col min="3" max="3" width="22" customWidth="1"/>
    <col min="4" max="4" width="20" customWidth="1"/>
    <col min="5" max="5" width="45" customWidth="1"/>
  </cols>
  <sheetData>
    <row r="1" ht="18.75" spans="1:1">
      <c r="A1" s="3" t="s">
        <v>9</v>
      </c>
    </row>
    <row r="3" spans="1:5">
      <c r="A3" s="1" t="s">
        <v>10</v>
      </c>
      <c r="B3" s="1" t="s">
        <v>11</v>
      </c>
      <c r="C3" s="1" t="s">
        <v>12</v>
      </c>
      <c r="D3" s="1" t="s">
        <v>13</v>
      </c>
      <c r="E3" s="1" t="s">
        <v>14</v>
      </c>
    </row>
    <row r="4" spans="1:5">
      <c r="A4" t="s">
        <v>15</v>
      </c>
      <c r="B4" t="s">
        <v>16</v>
      </c>
      <c r="C4" s="18">
        <v>0.105</v>
      </c>
      <c r="D4" s="18">
        <v>0.02</v>
      </c>
      <c r="E4" s="9" t="s">
        <v>17</v>
      </c>
    </row>
    <row r="5" spans="1:5">
      <c r="A5" t="s">
        <v>18</v>
      </c>
      <c r="B5" t="s">
        <v>19</v>
      </c>
      <c r="C5" s="18">
        <v>0.095</v>
      </c>
      <c r="D5" s="18">
        <v>0.06</v>
      </c>
      <c r="E5" s="9" t="s">
        <v>17</v>
      </c>
    </row>
    <row r="6" spans="1:5">
      <c r="A6" t="s">
        <v>20</v>
      </c>
      <c r="B6" t="s">
        <v>21</v>
      </c>
      <c r="C6" s="18">
        <v>0.12</v>
      </c>
      <c r="D6" s="18">
        <v>0.09</v>
      </c>
      <c r="E6" s="9" t="s">
        <v>17</v>
      </c>
    </row>
    <row r="7" spans="1:5">
      <c r="A7" t="s">
        <v>22</v>
      </c>
      <c r="B7" t="s">
        <v>23</v>
      </c>
      <c r="C7" s="18">
        <v>0.15</v>
      </c>
      <c r="D7" s="18">
        <v>0.22</v>
      </c>
      <c r="E7" s="9" t="s">
        <v>17</v>
      </c>
    </row>
    <row r="8" spans="1:5">
      <c r="A8" t="s">
        <v>24</v>
      </c>
      <c r="B8" t="s">
        <v>25</v>
      </c>
      <c r="C8" s="18">
        <v>0.13</v>
      </c>
      <c r="D8" s="18">
        <v>0.18</v>
      </c>
      <c r="E8" s="9" t="s">
        <v>17</v>
      </c>
    </row>
    <row r="9" spans="1:5">
      <c r="A9" t="s">
        <v>26</v>
      </c>
      <c r="B9" t="s">
        <v>27</v>
      </c>
      <c r="C9" s="18">
        <v>0.11</v>
      </c>
      <c r="D9" s="18">
        <v>0.13</v>
      </c>
      <c r="E9" s="9" t="s">
        <v>17</v>
      </c>
    </row>
    <row r="11" spans="1:2">
      <c r="A11" t="s">
        <v>28</v>
      </c>
      <c r="B11" s="18">
        <v>0.045</v>
      </c>
    </row>
    <row r="12" spans="1:2">
      <c r="A12" t="s">
        <v>29</v>
      </c>
      <c r="B12" s="18">
        <v>0.105</v>
      </c>
    </row>
    <row r="14" spans="1:1">
      <c r="A14" s="9" t="s">
        <v>30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workbookViewId="0">
      <selection activeCell="A1" sqref="A1"/>
    </sheetView>
  </sheetViews>
  <sheetFormatPr defaultColWidth="9" defaultRowHeight="15" outlineLevelRow="5" outlineLevelCol="6"/>
  <cols>
    <col min="1" max="7" width="16" customWidth="1"/>
  </cols>
  <sheetData>
    <row r="1" ht="18.75" spans="1:1">
      <c r="A1" s="3" t="s">
        <v>31</v>
      </c>
    </row>
    <row r="3" spans="1:7">
      <c r="A3" s="4" t="s">
        <v>32</v>
      </c>
      <c r="B3" s="1" t="s">
        <v>15</v>
      </c>
      <c r="C3" s="1" t="s">
        <v>18</v>
      </c>
      <c r="D3" s="1" t="s">
        <v>20</v>
      </c>
      <c r="E3" s="1" t="s">
        <v>22</v>
      </c>
      <c r="F3" s="1" t="s">
        <v>24</v>
      </c>
      <c r="G3" s="1" t="s">
        <v>26</v>
      </c>
    </row>
    <row r="4" spans="1:7">
      <c r="A4" t="s">
        <v>33</v>
      </c>
      <c r="B4" s="17">
        <v>0.6</v>
      </c>
      <c r="C4" s="17">
        <v>0.3</v>
      </c>
      <c r="D4" s="17">
        <v>0.1</v>
      </c>
      <c r="E4" s="17">
        <v>0</v>
      </c>
      <c r="F4" s="17">
        <v>0</v>
      </c>
      <c r="G4" s="17">
        <v>0</v>
      </c>
    </row>
    <row r="5" spans="1:7">
      <c r="A5" t="s">
        <v>34</v>
      </c>
      <c r="B5" s="17">
        <v>0.35</v>
      </c>
      <c r="C5" s="17">
        <v>0.2</v>
      </c>
      <c r="D5" s="17">
        <v>0.2</v>
      </c>
      <c r="E5" s="17">
        <v>0.1</v>
      </c>
      <c r="F5" s="17">
        <v>0</v>
      </c>
      <c r="G5" s="17">
        <v>0.15</v>
      </c>
    </row>
    <row r="6" spans="1:7">
      <c r="A6" t="s">
        <v>35</v>
      </c>
      <c r="B6" s="17">
        <v>0.15</v>
      </c>
      <c r="C6" s="17">
        <v>0</v>
      </c>
      <c r="D6" s="17">
        <v>0.2</v>
      </c>
      <c r="E6" s="17">
        <v>0.3</v>
      </c>
      <c r="F6" s="17">
        <v>0.2</v>
      </c>
      <c r="G6" s="17">
        <v>0.15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0"/>
  <sheetViews>
    <sheetView workbookViewId="0">
      <selection activeCell="B7" sqref="B7"/>
    </sheetView>
  </sheetViews>
  <sheetFormatPr defaultColWidth="9" defaultRowHeight="15"/>
  <cols>
    <col min="1" max="1" width="45" customWidth="1"/>
    <col min="2" max="2" width="40" customWidth="1"/>
    <col min="3" max="3" width="12" customWidth="1"/>
    <col min="8" max="8" width="40" customWidth="1"/>
    <col min="9" max="9" width="12" customWidth="1"/>
  </cols>
  <sheetData>
    <row r="1" ht="18.75" spans="1:1">
      <c r="A1" s="3" t="s">
        <v>36</v>
      </c>
    </row>
    <row r="2" spans="8:9">
      <c r="H2" t="s">
        <v>37</v>
      </c>
      <c r="I2">
        <v>1</v>
      </c>
    </row>
    <row r="3" spans="1:9">
      <c r="A3" s="1" t="s">
        <v>38</v>
      </c>
      <c r="B3" s="1" t="s">
        <v>39</v>
      </c>
      <c r="C3" s="1" t="s">
        <v>40</v>
      </c>
      <c r="H3" t="s">
        <v>41</v>
      </c>
      <c r="I3">
        <v>2</v>
      </c>
    </row>
    <row r="4" spans="1:9">
      <c r="A4" t="s">
        <v>42</v>
      </c>
      <c r="B4" s="10" t="s">
        <v>37</v>
      </c>
      <c r="C4" s="5">
        <f>IFERROR(VLOOKUP(B4,$H$2:$I$5,2,FALSE),0)</f>
        <v>1</v>
      </c>
      <c r="H4" t="s">
        <v>43</v>
      </c>
      <c r="I4">
        <v>3</v>
      </c>
    </row>
    <row r="5" spans="1:9">
      <c r="A5" t="s">
        <v>44</v>
      </c>
      <c r="B5" s="10" t="s">
        <v>45</v>
      </c>
      <c r="C5" s="5">
        <f>IFERROR(VLOOKUP(B5,$H$7:$I$10,2,FALSE),0)</f>
        <v>1</v>
      </c>
      <c r="H5" t="s">
        <v>46</v>
      </c>
      <c r="I5">
        <v>4</v>
      </c>
    </row>
    <row r="6" spans="1:3">
      <c r="A6" t="s">
        <v>47</v>
      </c>
      <c r="B6" s="10" t="s">
        <v>48</v>
      </c>
      <c r="C6" s="5">
        <f>IFERROR(VLOOKUP(B6,$H$12:$I$15,2,FALSE),0)</f>
        <v>1</v>
      </c>
    </row>
    <row r="7" spans="1:9">
      <c r="A7" t="s">
        <v>49</v>
      </c>
      <c r="B7" s="10" t="s">
        <v>50</v>
      </c>
      <c r="C7" s="5">
        <f>IFERROR(VLOOKUP(B7,$H$17:$I$20,2,FALSE),0)</f>
        <v>1</v>
      </c>
      <c r="H7" t="s">
        <v>45</v>
      </c>
      <c r="I7">
        <v>1</v>
      </c>
    </row>
    <row r="8" spans="8:9">
      <c r="H8" t="s">
        <v>51</v>
      </c>
      <c r="I8">
        <v>2</v>
      </c>
    </row>
    <row r="9" spans="1:9">
      <c r="A9" s="4" t="s">
        <v>52</v>
      </c>
      <c r="B9" s="5">
        <f>SUM(C4:C7)</f>
        <v>4</v>
      </c>
      <c r="H9" t="s">
        <v>53</v>
      </c>
      <c r="I9">
        <v>3</v>
      </c>
    </row>
    <row r="10" spans="1:9">
      <c r="A10" s="4" t="s">
        <v>54</v>
      </c>
      <c r="B10" s="16" t="str">
        <f>IF(B9&lt;=7,"conservador",IF(B9&lt;=12,"moderado","arrojado"))</f>
        <v>conservador</v>
      </c>
      <c r="H10" t="s">
        <v>55</v>
      </c>
      <c r="I10">
        <v>4</v>
      </c>
    </row>
    <row r="12" spans="8:9">
      <c r="H12" t="s">
        <v>48</v>
      </c>
      <c r="I12">
        <v>1</v>
      </c>
    </row>
    <row r="13" spans="8:9">
      <c r="H13" t="s">
        <v>56</v>
      </c>
      <c r="I13">
        <v>2</v>
      </c>
    </row>
    <row r="14" spans="8:9">
      <c r="H14" t="s">
        <v>57</v>
      </c>
      <c r="I14">
        <v>3</v>
      </c>
    </row>
    <row r="15" spans="8:9">
      <c r="H15" t="s">
        <v>58</v>
      </c>
      <c r="I15">
        <v>4</v>
      </c>
    </row>
    <row r="17" spans="8:9">
      <c r="H17" t="s">
        <v>50</v>
      </c>
      <c r="I17">
        <v>1</v>
      </c>
    </row>
    <row r="18" spans="8:9">
      <c r="H18" t="s">
        <v>59</v>
      </c>
      <c r="I18">
        <v>2</v>
      </c>
    </row>
    <row r="19" spans="8:9">
      <c r="H19" t="s">
        <v>60</v>
      </c>
      <c r="I19">
        <v>3</v>
      </c>
    </row>
    <row r="20" spans="8:9">
      <c r="H20" t="s">
        <v>61</v>
      </c>
      <c r="I20">
        <v>4</v>
      </c>
    </row>
  </sheetData>
  <dataValidations count="4">
    <dataValidation type="list" sqref="B4">
      <formula1>$H$2:$H$5</formula1>
    </dataValidation>
    <dataValidation type="list" sqref="B5">
      <formula1>$H$7:$H$10</formula1>
    </dataValidation>
    <dataValidation type="list" sqref="B6">
      <formula1>$H$12:$H$15</formula1>
    </dataValidation>
    <dataValidation type="list" sqref="B7">
      <formula1>$H$17:$H$20</formula1>
    </dataValidation>
  </dataValidation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8"/>
  <sheetViews>
    <sheetView workbookViewId="0">
      <selection activeCell="B28" sqref="B28"/>
    </sheetView>
  </sheetViews>
  <sheetFormatPr defaultColWidth="9" defaultRowHeight="15" outlineLevelCol="1"/>
  <cols>
    <col min="1" max="1" width="48" customWidth="1"/>
    <col min="2" max="2" width="22" customWidth="1"/>
  </cols>
  <sheetData>
    <row r="1" ht="18.75" spans="1:1">
      <c r="A1" s="3" t="s">
        <v>62</v>
      </c>
    </row>
    <row r="3" spans="1:2">
      <c r="A3" s="4" t="s">
        <v>63</v>
      </c>
      <c r="B3" s="10" t="s">
        <v>64</v>
      </c>
    </row>
    <row r="4" spans="1:2">
      <c r="A4" s="4" t="s">
        <v>65</v>
      </c>
      <c r="B4" s="10">
        <v>24</v>
      </c>
    </row>
    <row r="5" spans="1:2">
      <c r="A5" s="4" t="s">
        <v>66</v>
      </c>
      <c r="B5" s="11">
        <v>4000</v>
      </c>
    </row>
    <row r="6" spans="1:2">
      <c r="A6" s="4" t="s">
        <v>67</v>
      </c>
      <c r="B6" s="11">
        <v>100</v>
      </c>
    </row>
    <row r="7" spans="1:2">
      <c r="A7" s="4" t="s">
        <v>68</v>
      </c>
      <c r="B7" s="11">
        <v>100</v>
      </c>
    </row>
    <row r="8" spans="1:2">
      <c r="A8" s="4" t="s">
        <v>69</v>
      </c>
      <c r="B8" s="10">
        <v>1</v>
      </c>
    </row>
    <row r="10" spans="1:2">
      <c r="A10" s="4" t="s">
        <v>70</v>
      </c>
      <c r="B10" s="12" t="str">
        <f>Perfil_Risco!B10</f>
        <v>conservador</v>
      </c>
    </row>
    <row r="12" spans="1:1">
      <c r="A12" s="4" t="s">
        <v>71</v>
      </c>
    </row>
    <row r="13" spans="1:2">
      <c r="A13" s="4" t="s">
        <v>11</v>
      </c>
      <c r="B13" s="4" t="s">
        <v>72</v>
      </c>
    </row>
    <row r="14" spans="1:2">
      <c r="A14" s="13" t="str">
        <f>Mercado!B4</f>
        <v>Renda Fixa Pós-fixada (CDI / Tesouro Selic)</v>
      </c>
      <c r="B14" s="14">
        <f>INDEX(Alocacao_Modelo!$B$4:$G$6,MATCH($B$10,Alocacao_Modelo!$A$4:$A$6,0),1)</f>
        <v>0.6</v>
      </c>
    </row>
    <row r="15" spans="1:2">
      <c r="A15" s="13" t="str">
        <f>Mercado!B5</f>
        <v>Renda Fixa Prefixada / Inflação</v>
      </c>
      <c r="B15" s="14">
        <f>INDEX(Alocacao_Modelo!$B$4:$G$6,MATCH($B$10,Alocacao_Modelo!$A$4:$A$6,0),2)</f>
        <v>0.3</v>
      </c>
    </row>
    <row r="16" spans="1:2">
      <c r="A16" s="13" t="str">
        <f>Mercado!B6</f>
        <v>Fundos Multimercado</v>
      </c>
      <c r="B16" s="14">
        <f>INDEX(Alocacao_Modelo!$B$4:$G$6,MATCH($B$10,Alocacao_Modelo!$A$4:$A$6,0),3)</f>
        <v>0.1</v>
      </c>
    </row>
    <row r="17" spans="1:2">
      <c r="A17" s="13" t="str">
        <f>Mercado!B7</f>
        <v>Ações Brasil</v>
      </c>
      <c r="B17" s="14">
        <f>INDEX(Alocacao_Modelo!$B$4:$G$6,MATCH($B$10,Alocacao_Modelo!$A$4:$A$6,0),4)</f>
        <v>0</v>
      </c>
    </row>
    <row r="18" spans="1:2">
      <c r="A18" s="13" t="str">
        <f>Mercado!B8</f>
        <v>Ações Globais</v>
      </c>
      <c r="B18" s="14">
        <f>INDEX(Alocacao_Modelo!$B$4:$G$6,MATCH($B$10,Alocacao_Modelo!$A$4:$A$6,0),5)</f>
        <v>0</v>
      </c>
    </row>
    <row r="19" spans="1:2">
      <c r="A19" s="13" t="str">
        <f>Mercado!B9</f>
        <v>Fundos Imobiliários (FIIs)</v>
      </c>
      <c r="B19" s="14">
        <f>INDEX(Alocacao_Modelo!$B$4:$G$6,MATCH($B$10,Alocacao_Modelo!$A$4:$A$6,0),6)</f>
        <v>0</v>
      </c>
    </row>
    <row r="21" spans="1:2">
      <c r="A21" s="4" t="s">
        <v>73</v>
      </c>
      <c r="B21" s="6">
        <f>SUMPRODUCT(B14:B19,Mercado!C4:C9)</f>
        <v>0.1035</v>
      </c>
    </row>
    <row r="22" spans="1:2">
      <c r="A22" s="4" t="s">
        <v>74</v>
      </c>
      <c r="B22" s="6">
        <f>SUMPRODUCT(B14:B19,Mercado!D4:D9)</f>
        <v>0.039</v>
      </c>
    </row>
    <row r="24" spans="1:2">
      <c r="A24" s="9" t="s">
        <v>75</v>
      </c>
      <c r="B24" s="15">
        <f>(1+B21)^(1/12)-1</f>
        <v>0.00824101732723115</v>
      </c>
    </row>
    <row r="25" spans="1:2">
      <c r="A25" s="9" t="s">
        <v>76</v>
      </c>
      <c r="B25" s="15">
        <f>B21+1.2816*B22</f>
        <v>0.1534824</v>
      </c>
    </row>
    <row r="26" spans="1:2">
      <c r="A26" s="9" t="s">
        <v>77</v>
      </c>
      <c r="B26" s="15">
        <f>MAX(B21-1.2816*B22,-0.3)</f>
        <v>0.0535176</v>
      </c>
    </row>
    <row r="27" spans="1:2">
      <c r="A27" s="9" t="s">
        <v>78</v>
      </c>
      <c r="B27" s="15">
        <f>(1+B25)^(1/12)-1</f>
        <v>0.0119698673239423</v>
      </c>
    </row>
    <row r="28" spans="1:2">
      <c r="A28" s="9" t="s">
        <v>79</v>
      </c>
      <c r="B28" s="15">
        <f>(1+B26)^(1/12)-1</f>
        <v>0.00435400628974292</v>
      </c>
    </row>
  </sheetData>
  <dataValidations count="1">
    <dataValidation type="whole" operator="between" showErrorMessage="1" errorTitle="Prazo inválido" error="Digite um número inteiro entre 1 e 30 anos." sqref="B8">
      <formula1>1</formula1>
      <formula2>30</formula2>
    </dataValidation>
  </dataValidation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8"/>
  <sheetViews>
    <sheetView zoomScale="85" zoomScaleNormal="85" workbookViewId="0">
      <selection activeCell="A1" sqref="A1"/>
    </sheetView>
  </sheetViews>
  <sheetFormatPr defaultColWidth="9" defaultRowHeight="15" outlineLevelCol="1"/>
  <cols>
    <col min="1" max="1" width="42" customWidth="1"/>
    <col min="2" max="2" width="22" customWidth="1"/>
  </cols>
  <sheetData>
    <row r="1" ht="18.75" spans="1:1">
      <c r="A1" s="3" t="s">
        <v>80</v>
      </c>
    </row>
    <row r="3" spans="1:2">
      <c r="A3" s="4" t="s">
        <v>81</v>
      </c>
      <c r="B3" s="5" t="str">
        <f>Dados_Cliente!B3</f>
        <v>matheus</v>
      </c>
    </row>
    <row r="4" spans="1:2">
      <c r="A4" s="4" t="s">
        <v>82</v>
      </c>
      <c r="B4" s="5" t="str">
        <f>Dados_Cliente!B10</f>
        <v>conservador</v>
      </c>
    </row>
    <row r="5" spans="1:2">
      <c r="A5" s="4" t="s">
        <v>73</v>
      </c>
      <c r="B5" s="6">
        <f>Dados_Cliente!B21</f>
        <v>0.1035</v>
      </c>
    </row>
    <row r="6" spans="1:2">
      <c r="A6" s="4" t="s">
        <v>83</v>
      </c>
      <c r="B6" s="5">
        <f>Dados_Cliente!B8</f>
        <v>1</v>
      </c>
    </row>
    <row r="7" spans="1:2">
      <c r="A7" s="4" t="s">
        <v>84</v>
      </c>
      <c r="B7" s="7">
        <f>INDEX(Projecao!C:C,MATCH(Dados_Cliente!$B$8*12,Projecao!$A:$A,0))</f>
        <v>1300</v>
      </c>
    </row>
    <row r="9" spans="1:1">
      <c r="A9" s="4" t="s">
        <v>85</v>
      </c>
    </row>
    <row r="10" spans="1:2">
      <c r="A10" s="4" t="s">
        <v>86</v>
      </c>
      <c r="B10" s="8">
        <f>INDEX(Projecao!E:E,MATCH(Dados_Cliente!$B$8*12,Projecao!$A:$A,0))</f>
        <v>1397.58801631734</v>
      </c>
    </row>
    <row r="11" spans="1:2">
      <c r="A11" s="4" t="s">
        <v>87</v>
      </c>
      <c r="B11" s="8">
        <f>INDEX(Projecao!D:D,MATCH(Dados_Cliente!$B$8*12,Projecao!$A:$A,0))</f>
        <v>1366.26290359263</v>
      </c>
    </row>
    <row r="12" spans="1:2">
      <c r="A12" s="4" t="s">
        <v>88</v>
      </c>
      <c r="B12" s="8">
        <f>INDEX(Projecao!F:F,MATCH(Dados_Cliente!$B$8*12,Projecao!$A:$A,0))</f>
        <v>1334.50937803276</v>
      </c>
    </row>
    <row r="14" spans="1:1">
      <c r="A14" s="4" t="s">
        <v>89</v>
      </c>
    </row>
    <row r="15" spans="1:2">
      <c r="A15" s="4" t="s">
        <v>90</v>
      </c>
      <c r="B15" s="7">
        <f>B11-B7</f>
        <v>66.2629035926286</v>
      </c>
    </row>
    <row r="16" spans="1:2">
      <c r="A16" s="4" t="s">
        <v>91</v>
      </c>
      <c r="B16" s="6">
        <f>(B11/B7)^(1/B6)-1</f>
        <v>0.050971464302022</v>
      </c>
    </row>
    <row r="17" spans="1:2">
      <c r="A17" s="4" t="s">
        <v>92</v>
      </c>
      <c r="B17" s="6">
        <f>(1+B16)/(1+Mercado!B11)-1</f>
        <v>0.00571431990624127</v>
      </c>
    </row>
    <row r="28" spans="1:1">
      <c r="A28" s="9" t="s">
        <v>93</v>
      </c>
    </row>
  </sheetData>
  <pageMargins left="0.75" right="0.75" top="1" bottom="1" header="0.5" footer="0.5"/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62"/>
  <sheetViews>
    <sheetView showGridLines="0" workbookViewId="0">
      <selection activeCell="L28" sqref="L28"/>
    </sheetView>
  </sheetViews>
  <sheetFormatPr defaultColWidth="9" defaultRowHeight="15" outlineLevelCol="5"/>
  <cols>
    <col min="1" max="2" width="8" customWidth="1"/>
    <col min="3" max="3" width="18" customWidth="1"/>
    <col min="4" max="6" width="20" customWidth="1"/>
  </cols>
  <sheetData>
    <row r="1" spans="1:6">
      <c r="A1" s="1" t="s">
        <v>94</v>
      </c>
      <c r="B1" s="1" t="s">
        <v>95</v>
      </c>
      <c r="C1" s="1" t="s">
        <v>96</v>
      </c>
      <c r="D1" s="1" t="s">
        <v>97</v>
      </c>
      <c r="E1" s="1" t="s">
        <v>98</v>
      </c>
      <c r="F1" s="1" t="s">
        <v>99</v>
      </c>
    </row>
    <row r="2" spans="1:6">
      <c r="A2">
        <v>0</v>
      </c>
      <c r="B2">
        <v>0</v>
      </c>
      <c r="C2" s="2">
        <f>Dados_Cliente!B6</f>
        <v>100</v>
      </c>
      <c r="D2" s="2">
        <f>Dados_Cliente!B6</f>
        <v>100</v>
      </c>
      <c r="E2" s="2">
        <f>Dados_Cliente!B6</f>
        <v>100</v>
      </c>
      <c r="F2" s="2">
        <f>Dados_Cliente!B6</f>
        <v>100</v>
      </c>
    </row>
    <row r="3" spans="1:6">
      <c r="A3">
        <f t="shared" ref="A3:A66" si="0">A2+1</f>
        <v>1</v>
      </c>
      <c r="B3">
        <f t="shared" ref="B3:B66" si="1">A3/12</f>
        <v>0.0833333333333333</v>
      </c>
      <c r="C3" s="2">
        <f>IF($A3&lt;=Dados_Cliente!$B$8*12,C2+Dados_Cliente!$B$7,C2)</f>
        <v>200</v>
      </c>
      <c r="D3" s="2">
        <f>IF($A3&lt;=Dados_Cliente!$B$8*12,D2*(1+Dados_Cliente!$B$24)+Dados_Cliente!$B$7,D2)</f>
        <v>200.824101732723</v>
      </c>
      <c r="E3" s="2">
        <f>IF($A3&lt;=Dados_Cliente!$B$8*12,E2*(1+Dados_Cliente!$B$27)+Dados_Cliente!$B$7,E2)</f>
        <v>201.196986732394</v>
      </c>
      <c r="F3" s="2">
        <f>IF($A3&lt;=Dados_Cliente!$B$8*12,F2*(1+Dados_Cliente!$B$28)+Dados_Cliente!$B$7,F2)</f>
        <v>200.435400628974</v>
      </c>
    </row>
    <row r="4" spans="1:6">
      <c r="A4">
        <f t="shared" si="0"/>
        <v>2</v>
      </c>
      <c r="B4">
        <f t="shared" si="1"/>
        <v>0.166666666666667</v>
      </c>
      <c r="C4" s="2">
        <f>IF($A4&lt;=Dados_Cliente!$B$8*12,C3+Dados_Cliente!$B$7,C3)</f>
        <v>300</v>
      </c>
      <c r="D4" s="2">
        <f>IF($A4&lt;=Dados_Cliente!$B$8*12,D3*(1+Dados_Cliente!$B$24)+Dados_Cliente!$B$7,D3)</f>
        <v>302.479096634828</v>
      </c>
      <c r="E4" s="2">
        <f>IF($A4&lt;=Dados_Cliente!$B$8*12,E3*(1+Dados_Cliente!$B$27)+Dados_Cliente!$B$7,E3)</f>
        <v>303.605287969558</v>
      </c>
      <c r="F4" s="2">
        <f>IF($A4&lt;=Dados_Cliente!$B$8*12,F3*(1+Dados_Cliente!$B$28)+Dados_Cliente!$B$7,F3)</f>
        <v>301.308097624</v>
      </c>
    </row>
    <row r="5" spans="1:6">
      <c r="A5">
        <f t="shared" si="0"/>
        <v>3</v>
      </c>
      <c r="B5">
        <f t="shared" si="1"/>
        <v>0.25</v>
      </c>
      <c r="C5" s="2">
        <f>IF($A5&lt;=Dados_Cliente!$B$8*12,C4+Dados_Cliente!$B$7,C4)</f>
        <v>400</v>
      </c>
      <c r="D5" s="2">
        <f>IF($A5&lt;=Dados_Cliente!$B$8*12,D4*(1+Dados_Cliente!$B$24)+Dados_Cliente!$B$7,D4)</f>
        <v>404.971832111321</v>
      </c>
      <c r="E5" s="2">
        <f>IF($A5&lt;=Dados_Cliente!$B$8*12,E4*(1+Dados_Cliente!$B$27)+Dados_Cliente!$B$7,E4)</f>
        <v>407.239402985401</v>
      </c>
      <c r="F5" s="2">
        <f>IF($A5&lt;=Dados_Cliente!$B$8*12,F4*(1+Dados_Cliente!$B$28)+Dados_Cliente!$B$7,F4)</f>
        <v>402.619994976205</v>
      </c>
    </row>
    <row r="6" spans="1:6">
      <c r="A6">
        <f t="shared" si="0"/>
        <v>4</v>
      </c>
      <c r="B6">
        <f t="shared" si="1"/>
        <v>0.333333333333333</v>
      </c>
      <c r="C6" s="2">
        <f>IF($A6&lt;=Dados_Cliente!$B$8*12,C5+Dados_Cliente!$B$7,C5)</f>
        <v>500</v>
      </c>
      <c r="D6" s="2">
        <f>IF($A6&lt;=Dados_Cliente!$B$8*12,D5*(1+Dados_Cliente!$B$24)+Dados_Cliente!$B$7,D5)</f>
        <v>508.309211996791</v>
      </c>
      <c r="E6" s="2">
        <f>IF($A6&lt;=Dados_Cliente!$B$8*12,E5*(1+Dados_Cliente!$B$27)+Dados_Cliente!$B$7,E5)</f>
        <v>512.114004608218</v>
      </c>
      <c r="F6" s="2">
        <f>IF($A6&lt;=Dados_Cliente!$B$8*12,F5*(1+Dados_Cliente!$B$28)+Dados_Cliente!$B$7,F5)</f>
        <v>504.373004966708</v>
      </c>
    </row>
    <row r="7" spans="1:6">
      <c r="A7">
        <f t="shared" si="0"/>
        <v>5</v>
      </c>
      <c r="B7">
        <f t="shared" si="1"/>
        <v>0.416666666666667</v>
      </c>
      <c r="C7" s="2">
        <f>IF($A7&lt;=Dados_Cliente!$B$8*12,C6+Dados_Cliente!$B$7,C6)</f>
        <v>600</v>
      </c>
      <c r="D7" s="2">
        <f>IF($A7&lt;=Dados_Cliente!$B$8*12,D6*(1+Dados_Cliente!$B$24)+Dados_Cliente!$B$7,D6)</f>
        <v>612.498197020448</v>
      </c>
      <c r="E7" s="2">
        <f>IF($A7&lt;=Dados_Cliente!$B$8*12,E6*(1+Dados_Cliente!$B$27)+Dados_Cliente!$B$7,E6)</f>
        <v>618.243941298111</v>
      </c>
      <c r="F7" s="2">
        <f>IF($A7&lt;=Dados_Cliente!$B$8*12,F6*(1+Dados_Cliente!$B$28)+Dados_Cliente!$B$7,F6)</f>
        <v>606.56904820271</v>
      </c>
    </row>
    <row r="8" spans="1:6">
      <c r="A8">
        <f t="shared" si="0"/>
        <v>6</v>
      </c>
      <c r="B8">
        <f t="shared" si="1"/>
        <v>0.5</v>
      </c>
      <c r="C8" s="2">
        <f>IF($A8&lt;=Dados_Cliente!$B$8*12,C7+Dados_Cliente!$B$7,C7)</f>
        <v>700</v>
      </c>
      <c r="D8" s="2">
        <f>IF($A8&lt;=Dados_Cliente!$B$8*12,D7*(1+Dados_Cliente!$B$24)+Dados_Cliente!$B$7,D7)</f>
        <v>717.545805274991</v>
      </c>
      <c r="E8" s="2">
        <f>IF($A8&lt;=Dados_Cliente!$B$8*12,E7*(1+Dados_Cliente!$B$27)+Dados_Cliente!$B$7,E7)</f>
        <v>725.64423924928</v>
      </c>
      <c r="F8" s="2">
        <f>IF($A8&lt;=Dados_Cliente!$B$8*12,F7*(1+Dados_Cliente!$B$28)+Dados_Cliente!$B$7,F7)</f>
        <v>709.210053653748</v>
      </c>
    </row>
    <row r="9" spans="1:6">
      <c r="A9">
        <f t="shared" si="0"/>
        <v>7</v>
      </c>
      <c r="B9">
        <f t="shared" si="1"/>
        <v>0.583333333333333</v>
      </c>
      <c r="C9" s="2">
        <f>IF($A9&lt;=Dados_Cliente!$B$8*12,C8+Dados_Cliente!$B$7,C8)</f>
        <v>800</v>
      </c>
      <c r="D9" s="2">
        <f>IF($A9&lt;=Dados_Cliente!$B$8*12,D8*(1+Dados_Cliente!$B$24)+Dados_Cliente!$B$7,D8)</f>
        <v>823.459112689344</v>
      </c>
      <c r="E9" s="2">
        <f>IF($A9&lt;=Dados_Cliente!$B$8*12,E8*(1+Dados_Cliente!$B$27)+Dados_Cliente!$B$7,E8)</f>
        <v>834.330104517477</v>
      </c>
      <c r="F9" s="2">
        <f>IF($A9&lt;=Dados_Cliente!$B$8*12,F8*(1+Dados_Cliente!$B$28)+Dados_Cliente!$B$7,F8)</f>
        <v>812.297958688105</v>
      </c>
    </row>
    <row r="10" spans="1:6">
      <c r="A10">
        <f t="shared" si="0"/>
        <v>8</v>
      </c>
      <c r="B10">
        <f t="shared" si="1"/>
        <v>0.666666666666667</v>
      </c>
      <c r="C10" s="2">
        <f>IF($A10&lt;=Dados_Cliente!$B$8*12,C9+Dados_Cliente!$B$7,C9)</f>
        <v>900</v>
      </c>
      <c r="D10" s="2">
        <f>IF($A10&lt;=Dados_Cliente!$B$8*12,D9*(1+Dados_Cliente!$B$24)+Dados_Cliente!$B$7,D9)</f>
        <v>930.245253505283</v>
      </c>
      <c r="E10" s="2">
        <f>IF($A10&lt;=Dados_Cliente!$B$8*12,E9*(1+Dados_Cliente!$B$27)+Dados_Cliente!$B$7,E9)</f>
        <v>944.316925172922</v>
      </c>
      <c r="F10" s="2">
        <f>IF($A10&lt;=Dados_Cliente!$B$8*12,F9*(1+Dados_Cliente!$B$28)+Dados_Cliente!$B$7,F9)</f>
        <v>915.834709109378</v>
      </c>
    </row>
    <row r="11" spans="1:6">
      <c r="A11">
        <f t="shared" si="0"/>
        <v>9</v>
      </c>
      <c r="B11">
        <f t="shared" si="1"/>
        <v>0.75</v>
      </c>
      <c r="C11" s="2">
        <f>IF($A11&lt;=Dados_Cliente!$B$8*12,C10+Dados_Cliente!$B$7,C10)</f>
        <v>1000</v>
      </c>
      <c r="D11" s="2">
        <f>IF($A11&lt;=Dados_Cliente!$B$8*12,D10*(1+Dados_Cliente!$B$24)+Dados_Cliente!$B$7,D10)</f>
        <v>1037.911420758</v>
      </c>
      <c r="E11" s="2">
        <f>IF($A11&lt;=Dados_Cliente!$B$8*12,E10*(1+Dados_Cliente!$B$27)+Dados_Cliente!$B$7,E10)</f>
        <v>1055.620273479</v>
      </c>
      <c r="F11" s="2">
        <f>IF($A11&lt;=Dados_Cliente!$B$8*12,F10*(1+Dados_Cliente!$B$28)+Dados_Cliente!$B$7,F10)</f>
        <v>1019.82225919321</v>
      </c>
    </row>
    <row r="12" spans="1:6">
      <c r="A12">
        <f t="shared" si="0"/>
        <v>10</v>
      </c>
      <c r="B12">
        <f t="shared" si="1"/>
        <v>0.833333333333333</v>
      </c>
      <c r="C12" s="2">
        <f>IF($A12&lt;=Dados_Cliente!$B$8*12,C11+Dados_Cliente!$B$7,C11)</f>
        <v>1100</v>
      </c>
      <c r="D12" s="2">
        <f>IF($A12&lt;=Dados_Cliente!$B$8*12,D11*(1+Dados_Cliente!$B$24)+Dados_Cliente!$B$7,D11)</f>
        <v>1146.46486676059</v>
      </c>
      <c r="E12" s="2">
        <f>IF($A12&lt;=Dados_Cliente!$B$8*12,E11*(1+Dados_Cliente!$B$27)+Dados_Cliente!$B$7,E11)</f>
        <v>1168.255908097</v>
      </c>
      <c r="F12" s="2">
        <f>IF($A12&lt;=Dados_Cliente!$B$8*12,F11*(1+Dados_Cliente!$B$28)+Dados_Cliente!$B$7,F11)</f>
        <v>1124.26257172415</v>
      </c>
    </row>
    <row r="13" spans="1:6">
      <c r="A13">
        <f t="shared" si="0"/>
        <v>11</v>
      </c>
      <c r="B13">
        <f t="shared" si="1"/>
        <v>0.916666666666667</v>
      </c>
      <c r="C13" s="2">
        <f>IF($A13&lt;=Dados_Cliente!$B$8*12,C12+Dados_Cliente!$B$7,C12)</f>
        <v>1200</v>
      </c>
      <c r="D13" s="2">
        <f>IF($A13&lt;=Dados_Cliente!$B$8*12,D12*(1+Dados_Cliente!$B$24)+Dados_Cliente!$B$7,D12)</f>
        <v>1255.91290359263</v>
      </c>
      <c r="E13" s="2">
        <f>IF($A13&lt;=Dados_Cliente!$B$8*12,E12*(1+Dados_Cliente!$B$27)+Dados_Cliente!$B$7,E12)</f>
        <v>1282.23977631734</v>
      </c>
      <c r="F13" s="2">
        <f>IF($A13&lt;=Dados_Cliente!$B$8*12,F12*(1+Dados_Cliente!$B$28)+Dados_Cliente!$B$7,F12)</f>
        <v>1229.15761803276</v>
      </c>
    </row>
    <row r="14" spans="1:6">
      <c r="A14">
        <f t="shared" si="0"/>
        <v>12</v>
      </c>
      <c r="B14">
        <f t="shared" si="1"/>
        <v>1</v>
      </c>
      <c r="C14" s="2">
        <f>IF($A14&lt;=Dados_Cliente!$B$8*12,C13+Dados_Cliente!$B$7,C13)</f>
        <v>1300</v>
      </c>
      <c r="D14" s="2">
        <f>IF($A14&lt;=Dados_Cliente!$B$8*12,D13*(1+Dados_Cliente!$B$24)+Dados_Cliente!$B$7,D13)</f>
        <v>1366.26290359263</v>
      </c>
      <c r="E14" s="2">
        <f>IF($A14&lt;=Dados_Cliente!$B$8*12,E13*(1+Dados_Cliente!$B$27)+Dados_Cliente!$B$7,E13)</f>
        <v>1397.58801631734</v>
      </c>
      <c r="F14" s="2">
        <f>IF($A14&lt;=Dados_Cliente!$B$8*12,F13*(1+Dados_Cliente!$B$28)+Dados_Cliente!$B$7,F13)</f>
        <v>1334.50937803276</v>
      </c>
    </row>
    <row r="15" spans="1:6">
      <c r="A15">
        <f t="shared" si="0"/>
        <v>13</v>
      </c>
      <c r="B15">
        <f t="shared" si="1"/>
        <v>1.08333333333333</v>
      </c>
      <c r="C15" s="2">
        <f>IF($A15&lt;=Dados_Cliente!$B$8*12,C14+Dados_Cliente!$B$7,C14)</f>
        <v>1300</v>
      </c>
      <c r="D15" s="2">
        <f>IF($A15&lt;=Dados_Cliente!$B$8*12,D14*(1+Dados_Cliente!$B$24)+Dados_Cliente!$B$7,D14)</f>
        <v>1366.26290359263</v>
      </c>
      <c r="E15" s="2">
        <f>IF($A15&lt;=Dados_Cliente!$B$8*12,E14*(1+Dados_Cliente!$B$27)+Dados_Cliente!$B$7,E14)</f>
        <v>1397.58801631734</v>
      </c>
      <c r="F15" s="2">
        <f>IF($A15&lt;=Dados_Cliente!$B$8*12,F14*(1+Dados_Cliente!$B$28)+Dados_Cliente!$B$7,F14)</f>
        <v>1334.50937803276</v>
      </c>
    </row>
    <row r="16" spans="1:6">
      <c r="A16">
        <f t="shared" si="0"/>
        <v>14</v>
      </c>
      <c r="B16">
        <f t="shared" si="1"/>
        <v>1.16666666666667</v>
      </c>
      <c r="C16" s="2">
        <f>IF($A16&lt;=Dados_Cliente!$B$8*12,C15+Dados_Cliente!$B$7,C15)</f>
        <v>1300</v>
      </c>
      <c r="D16" s="2">
        <f>IF($A16&lt;=Dados_Cliente!$B$8*12,D15*(1+Dados_Cliente!$B$24)+Dados_Cliente!$B$7,D15)</f>
        <v>1366.26290359263</v>
      </c>
      <c r="E16" s="2">
        <f>IF($A16&lt;=Dados_Cliente!$B$8*12,E15*(1+Dados_Cliente!$B$27)+Dados_Cliente!$B$7,E15)</f>
        <v>1397.58801631734</v>
      </c>
      <c r="F16" s="2">
        <f>IF($A16&lt;=Dados_Cliente!$B$8*12,F15*(1+Dados_Cliente!$B$28)+Dados_Cliente!$B$7,F15)</f>
        <v>1334.50937803276</v>
      </c>
    </row>
    <row r="17" spans="1:6">
      <c r="A17">
        <f t="shared" si="0"/>
        <v>15</v>
      </c>
      <c r="B17">
        <f t="shared" si="1"/>
        <v>1.25</v>
      </c>
      <c r="C17" s="2">
        <f>IF($A17&lt;=Dados_Cliente!$B$8*12,C16+Dados_Cliente!$B$7,C16)</f>
        <v>1300</v>
      </c>
      <c r="D17" s="2">
        <f>IF($A17&lt;=Dados_Cliente!$B$8*12,D16*(1+Dados_Cliente!$B$24)+Dados_Cliente!$B$7,D16)</f>
        <v>1366.26290359263</v>
      </c>
      <c r="E17" s="2">
        <f>IF($A17&lt;=Dados_Cliente!$B$8*12,E16*(1+Dados_Cliente!$B$27)+Dados_Cliente!$B$7,E16)</f>
        <v>1397.58801631734</v>
      </c>
      <c r="F17" s="2">
        <f>IF($A17&lt;=Dados_Cliente!$B$8*12,F16*(1+Dados_Cliente!$B$28)+Dados_Cliente!$B$7,F16)</f>
        <v>1334.50937803276</v>
      </c>
    </row>
    <row r="18" spans="1:6">
      <c r="A18">
        <f t="shared" si="0"/>
        <v>16</v>
      </c>
      <c r="B18">
        <f t="shared" si="1"/>
        <v>1.33333333333333</v>
      </c>
      <c r="C18" s="2">
        <f>IF($A18&lt;=Dados_Cliente!$B$8*12,C17+Dados_Cliente!$B$7,C17)</f>
        <v>1300</v>
      </c>
      <c r="D18" s="2">
        <f>IF($A18&lt;=Dados_Cliente!$B$8*12,D17*(1+Dados_Cliente!$B$24)+Dados_Cliente!$B$7,D17)</f>
        <v>1366.26290359263</v>
      </c>
      <c r="E18" s="2">
        <f>IF($A18&lt;=Dados_Cliente!$B$8*12,E17*(1+Dados_Cliente!$B$27)+Dados_Cliente!$B$7,E17)</f>
        <v>1397.58801631734</v>
      </c>
      <c r="F18" s="2">
        <f>IF($A18&lt;=Dados_Cliente!$B$8*12,F17*(1+Dados_Cliente!$B$28)+Dados_Cliente!$B$7,F17)</f>
        <v>1334.50937803276</v>
      </c>
    </row>
    <row r="19" spans="1:6">
      <c r="A19">
        <f t="shared" si="0"/>
        <v>17</v>
      </c>
      <c r="B19">
        <f t="shared" si="1"/>
        <v>1.41666666666667</v>
      </c>
      <c r="C19" s="2">
        <f>IF($A19&lt;=Dados_Cliente!$B$8*12,C18+Dados_Cliente!$B$7,C18)</f>
        <v>1300</v>
      </c>
      <c r="D19" s="2">
        <f>IF($A19&lt;=Dados_Cliente!$B$8*12,D18*(1+Dados_Cliente!$B$24)+Dados_Cliente!$B$7,D18)</f>
        <v>1366.26290359263</v>
      </c>
      <c r="E19" s="2">
        <f>IF($A19&lt;=Dados_Cliente!$B$8*12,E18*(1+Dados_Cliente!$B$27)+Dados_Cliente!$B$7,E18)</f>
        <v>1397.58801631734</v>
      </c>
      <c r="F19" s="2">
        <f>IF($A19&lt;=Dados_Cliente!$B$8*12,F18*(1+Dados_Cliente!$B$28)+Dados_Cliente!$B$7,F18)</f>
        <v>1334.50937803276</v>
      </c>
    </row>
    <row r="20" spans="1:6">
      <c r="A20">
        <f t="shared" si="0"/>
        <v>18</v>
      </c>
      <c r="B20">
        <f t="shared" si="1"/>
        <v>1.5</v>
      </c>
      <c r="C20" s="2">
        <f>IF($A20&lt;=Dados_Cliente!$B$8*12,C19+Dados_Cliente!$B$7,C19)</f>
        <v>1300</v>
      </c>
      <c r="D20" s="2">
        <f>IF($A20&lt;=Dados_Cliente!$B$8*12,D19*(1+Dados_Cliente!$B$24)+Dados_Cliente!$B$7,D19)</f>
        <v>1366.26290359263</v>
      </c>
      <c r="E20" s="2">
        <f>IF($A20&lt;=Dados_Cliente!$B$8*12,E19*(1+Dados_Cliente!$B$27)+Dados_Cliente!$B$7,E19)</f>
        <v>1397.58801631734</v>
      </c>
      <c r="F20" s="2">
        <f>IF($A20&lt;=Dados_Cliente!$B$8*12,F19*(1+Dados_Cliente!$B$28)+Dados_Cliente!$B$7,F19)</f>
        <v>1334.50937803276</v>
      </c>
    </row>
    <row r="21" spans="1:6">
      <c r="A21">
        <f t="shared" si="0"/>
        <v>19</v>
      </c>
      <c r="B21">
        <f t="shared" si="1"/>
        <v>1.58333333333333</v>
      </c>
      <c r="C21" s="2">
        <f>IF($A21&lt;=Dados_Cliente!$B$8*12,C20+Dados_Cliente!$B$7,C20)</f>
        <v>1300</v>
      </c>
      <c r="D21" s="2">
        <f>IF($A21&lt;=Dados_Cliente!$B$8*12,D20*(1+Dados_Cliente!$B$24)+Dados_Cliente!$B$7,D20)</f>
        <v>1366.26290359263</v>
      </c>
      <c r="E21" s="2">
        <f>IF($A21&lt;=Dados_Cliente!$B$8*12,E20*(1+Dados_Cliente!$B$27)+Dados_Cliente!$B$7,E20)</f>
        <v>1397.58801631734</v>
      </c>
      <c r="F21" s="2">
        <f>IF($A21&lt;=Dados_Cliente!$B$8*12,F20*(1+Dados_Cliente!$B$28)+Dados_Cliente!$B$7,F20)</f>
        <v>1334.50937803276</v>
      </c>
    </row>
    <row r="22" spans="1:6">
      <c r="A22">
        <f t="shared" si="0"/>
        <v>20</v>
      </c>
      <c r="B22">
        <f t="shared" si="1"/>
        <v>1.66666666666667</v>
      </c>
      <c r="C22" s="2">
        <f>IF($A22&lt;=Dados_Cliente!$B$8*12,C21+Dados_Cliente!$B$7,C21)</f>
        <v>1300</v>
      </c>
      <c r="D22" s="2">
        <f>IF($A22&lt;=Dados_Cliente!$B$8*12,D21*(1+Dados_Cliente!$B$24)+Dados_Cliente!$B$7,D21)</f>
        <v>1366.26290359263</v>
      </c>
      <c r="E22" s="2">
        <f>IF($A22&lt;=Dados_Cliente!$B$8*12,E21*(1+Dados_Cliente!$B$27)+Dados_Cliente!$B$7,E21)</f>
        <v>1397.58801631734</v>
      </c>
      <c r="F22" s="2">
        <f>IF($A22&lt;=Dados_Cliente!$B$8*12,F21*(1+Dados_Cliente!$B$28)+Dados_Cliente!$B$7,F21)</f>
        <v>1334.50937803276</v>
      </c>
    </row>
    <row r="23" spans="1:6">
      <c r="A23">
        <f t="shared" si="0"/>
        <v>21</v>
      </c>
      <c r="B23">
        <f t="shared" si="1"/>
        <v>1.75</v>
      </c>
      <c r="C23" s="2">
        <f>IF($A23&lt;=Dados_Cliente!$B$8*12,C22+Dados_Cliente!$B$7,C22)</f>
        <v>1300</v>
      </c>
      <c r="D23" s="2">
        <f>IF($A23&lt;=Dados_Cliente!$B$8*12,D22*(1+Dados_Cliente!$B$24)+Dados_Cliente!$B$7,D22)</f>
        <v>1366.26290359263</v>
      </c>
      <c r="E23" s="2">
        <f>IF($A23&lt;=Dados_Cliente!$B$8*12,E22*(1+Dados_Cliente!$B$27)+Dados_Cliente!$B$7,E22)</f>
        <v>1397.58801631734</v>
      </c>
      <c r="F23" s="2">
        <f>IF($A23&lt;=Dados_Cliente!$B$8*12,F22*(1+Dados_Cliente!$B$28)+Dados_Cliente!$B$7,F22)</f>
        <v>1334.50937803276</v>
      </c>
    </row>
    <row r="24" spans="1:6">
      <c r="A24">
        <f t="shared" si="0"/>
        <v>22</v>
      </c>
      <c r="B24">
        <f t="shared" si="1"/>
        <v>1.83333333333333</v>
      </c>
      <c r="C24" s="2">
        <f>IF($A24&lt;=Dados_Cliente!$B$8*12,C23+Dados_Cliente!$B$7,C23)</f>
        <v>1300</v>
      </c>
      <c r="D24" s="2">
        <f>IF($A24&lt;=Dados_Cliente!$B$8*12,D23*(1+Dados_Cliente!$B$24)+Dados_Cliente!$B$7,D23)</f>
        <v>1366.26290359263</v>
      </c>
      <c r="E24" s="2">
        <f>IF($A24&lt;=Dados_Cliente!$B$8*12,E23*(1+Dados_Cliente!$B$27)+Dados_Cliente!$B$7,E23)</f>
        <v>1397.58801631734</v>
      </c>
      <c r="F24" s="2">
        <f>IF($A24&lt;=Dados_Cliente!$B$8*12,F23*(1+Dados_Cliente!$B$28)+Dados_Cliente!$B$7,F23)</f>
        <v>1334.50937803276</v>
      </c>
    </row>
    <row r="25" spans="1:6">
      <c r="A25">
        <f t="shared" si="0"/>
        <v>23</v>
      </c>
      <c r="B25">
        <f t="shared" si="1"/>
        <v>1.91666666666667</v>
      </c>
      <c r="C25" s="2">
        <f>IF($A25&lt;=Dados_Cliente!$B$8*12,C24+Dados_Cliente!$B$7,C24)</f>
        <v>1300</v>
      </c>
      <c r="D25" s="2">
        <f>IF($A25&lt;=Dados_Cliente!$B$8*12,D24*(1+Dados_Cliente!$B$24)+Dados_Cliente!$B$7,D24)</f>
        <v>1366.26290359263</v>
      </c>
      <c r="E25" s="2">
        <f>IF($A25&lt;=Dados_Cliente!$B$8*12,E24*(1+Dados_Cliente!$B$27)+Dados_Cliente!$B$7,E24)</f>
        <v>1397.58801631734</v>
      </c>
      <c r="F25" s="2">
        <f>IF($A25&lt;=Dados_Cliente!$B$8*12,F24*(1+Dados_Cliente!$B$28)+Dados_Cliente!$B$7,F24)</f>
        <v>1334.50937803276</v>
      </c>
    </row>
    <row r="26" spans="1:6">
      <c r="A26">
        <f t="shared" si="0"/>
        <v>24</v>
      </c>
      <c r="B26">
        <f t="shared" si="1"/>
        <v>2</v>
      </c>
      <c r="C26" s="2">
        <f>IF($A26&lt;=Dados_Cliente!$B$8*12,C25+Dados_Cliente!$B$7,C25)</f>
        <v>1300</v>
      </c>
      <c r="D26" s="2">
        <f>IF($A26&lt;=Dados_Cliente!$B$8*12,D25*(1+Dados_Cliente!$B$24)+Dados_Cliente!$B$7,D25)</f>
        <v>1366.26290359263</v>
      </c>
      <c r="E26" s="2">
        <f>IF($A26&lt;=Dados_Cliente!$B$8*12,E25*(1+Dados_Cliente!$B$27)+Dados_Cliente!$B$7,E25)</f>
        <v>1397.58801631734</v>
      </c>
      <c r="F26" s="2">
        <f>IF($A26&lt;=Dados_Cliente!$B$8*12,F25*(1+Dados_Cliente!$B$28)+Dados_Cliente!$B$7,F25)</f>
        <v>1334.50937803276</v>
      </c>
    </row>
    <row r="27" spans="1:6">
      <c r="A27">
        <f t="shared" si="0"/>
        <v>25</v>
      </c>
      <c r="B27">
        <f t="shared" si="1"/>
        <v>2.08333333333333</v>
      </c>
      <c r="C27" s="2">
        <f>IF($A27&lt;=Dados_Cliente!$B$8*12,C26+Dados_Cliente!$B$7,C26)</f>
        <v>1300</v>
      </c>
      <c r="D27" s="2">
        <f>IF($A27&lt;=Dados_Cliente!$B$8*12,D26*(1+Dados_Cliente!$B$24)+Dados_Cliente!$B$7,D26)</f>
        <v>1366.26290359263</v>
      </c>
      <c r="E27" s="2">
        <f>IF($A27&lt;=Dados_Cliente!$B$8*12,E26*(1+Dados_Cliente!$B$27)+Dados_Cliente!$B$7,E26)</f>
        <v>1397.58801631734</v>
      </c>
      <c r="F27" s="2">
        <f>IF($A27&lt;=Dados_Cliente!$B$8*12,F26*(1+Dados_Cliente!$B$28)+Dados_Cliente!$B$7,F26)</f>
        <v>1334.50937803276</v>
      </c>
    </row>
    <row r="28" spans="1:6">
      <c r="A28">
        <f t="shared" si="0"/>
        <v>26</v>
      </c>
      <c r="B28">
        <f t="shared" si="1"/>
        <v>2.16666666666667</v>
      </c>
      <c r="C28" s="2">
        <f>IF($A28&lt;=Dados_Cliente!$B$8*12,C27+Dados_Cliente!$B$7,C27)</f>
        <v>1300</v>
      </c>
      <c r="D28" s="2">
        <f>IF($A28&lt;=Dados_Cliente!$B$8*12,D27*(1+Dados_Cliente!$B$24)+Dados_Cliente!$B$7,D27)</f>
        <v>1366.26290359263</v>
      </c>
      <c r="E28" s="2">
        <f>IF($A28&lt;=Dados_Cliente!$B$8*12,E27*(1+Dados_Cliente!$B$27)+Dados_Cliente!$B$7,E27)</f>
        <v>1397.58801631734</v>
      </c>
      <c r="F28" s="2">
        <f>IF($A28&lt;=Dados_Cliente!$B$8*12,F27*(1+Dados_Cliente!$B$28)+Dados_Cliente!$B$7,F27)</f>
        <v>1334.50937803276</v>
      </c>
    </row>
    <row r="29" spans="1:6">
      <c r="A29">
        <f t="shared" si="0"/>
        <v>27</v>
      </c>
      <c r="B29">
        <f t="shared" si="1"/>
        <v>2.25</v>
      </c>
      <c r="C29" s="2">
        <f>IF($A29&lt;=Dados_Cliente!$B$8*12,C28+Dados_Cliente!$B$7,C28)</f>
        <v>1300</v>
      </c>
      <c r="D29" s="2">
        <f>IF($A29&lt;=Dados_Cliente!$B$8*12,D28*(1+Dados_Cliente!$B$24)+Dados_Cliente!$B$7,D28)</f>
        <v>1366.26290359263</v>
      </c>
      <c r="E29" s="2">
        <f>IF($A29&lt;=Dados_Cliente!$B$8*12,E28*(1+Dados_Cliente!$B$27)+Dados_Cliente!$B$7,E28)</f>
        <v>1397.58801631734</v>
      </c>
      <c r="F29" s="2">
        <f>IF($A29&lt;=Dados_Cliente!$B$8*12,F28*(1+Dados_Cliente!$B$28)+Dados_Cliente!$B$7,F28)</f>
        <v>1334.50937803276</v>
      </c>
    </row>
    <row r="30" spans="1:6">
      <c r="A30">
        <f t="shared" si="0"/>
        <v>28</v>
      </c>
      <c r="B30">
        <f t="shared" si="1"/>
        <v>2.33333333333333</v>
      </c>
      <c r="C30" s="2">
        <f>IF($A30&lt;=Dados_Cliente!$B$8*12,C29+Dados_Cliente!$B$7,C29)</f>
        <v>1300</v>
      </c>
      <c r="D30" s="2">
        <f>IF($A30&lt;=Dados_Cliente!$B$8*12,D29*(1+Dados_Cliente!$B$24)+Dados_Cliente!$B$7,D29)</f>
        <v>1366.26290359263</v>
      </c>
      <c r="E30" s="2">
        <f>IF($A30&lt;=Dados_Cliente!$B$8*12,E29*(1+Dados_Cliente!$B$27)+Dados_Cliente!$B$7,E29)</f>
        <v>1397.58801631734</v>
      </c>
      <c r="F30" s="2">
        <f>IF($A30&lt;=Dados_Cliente!$B$8*12,F29*(1+Dados_Cliente!$B$28)+Dados_Cliente!$B$7,F29)</f>
        <v>1334.50937803276</v>
      </c>
    </row>
    <row r="31" spans="1:6">
      <c r="A31">
        <f t="shared" si="0"/>
        <v>29</v>
      </c>
      <c r="B31">
        <f t="shared" si="1"/>
        <v>2.41666666666667</v>
      </c>
      <c r="C31" s="2">
        <f>IF($A31&lt;=Dados_Cliente!$B$8*12,C30+Dados_Cliente!$B$7,C30)</f>
        <v>1300</v>
      </c>
      <c r="D31" s="2">
        <f>IF($A31&lt;=Dados_Cliente!$B$8*12,D30*(1+Dados_Cliente!$B$24)+Dados_Cliente!$B$7,D30)</f>
        <v>1366.26290359263</v>
      </c>
      <c r="E31" s="2">
        <f>IF($A31&lt;=Dados_Cliente!$B$8*12,E30*(1+Dados_Cliente!$B$27)+Dados_Cliente!$B$7,E30)</f>
        <v>1397.58801631734</v>
      </c>
      <c r="F31" s="2">
        <f>IF($A31&lt;=Dados_Cliente!$B$8*12,F30*(1+Dados_Cliente!$B$28)+Dados_Cliente!$B$7,F30)</f>
        <v>1334.50937803276</v>
      </c>
    </row>
    <row r="32" spans="1:6">
      <c r="A32">
        <f t="shared" si="0"/>
        <v>30</v>
      </c>
      <c r="B32">
        <f t="shared" si="1"/>
        <v>2.5</v>
      </c>
      <c r="C32" s="2">
        <f>IF($A32&lt;=Dados_Cliente!$B$8*12,C31+Dados_Cliente!$B$7,C31)</f>
        <v>1300</v>
      </c>
      <c r="D32" s="2">
        <f>IF($A32&lt;=Dados_Cliente!$B$8*12,D31*(1+Dados_Cliente!$B$24)+Dados_Cliente!$B$7,D31)</f>
        <v>1366.26290359263</v>
      </c>
      <c r="E32" s="2">
        <f>IF($A32&lt;=Dados_Cliente!$B$8*12,E31*(1+Dados_Cliente!$B$27)+Dados_Cliente!$B$7,E31)</f>
        <v>1397.58801631734</v>
      </c>
      <c r="F32" s="2">
        <f>IF($A32&lt;=Dados_Cliente!$B$8*12,F31*(1+Dados_Cliente!$B$28)+Dados_Cliente!$B$7,F31)</f>
        <v>1334.50937803276</v>
      </c>
    </row>
    <row r="33" spans="1:6">
      <c r="A33">
        <f t="shared" si="0"/>
        <v>31</v>
      </c>
      <c r="B33">
        <f t="shared" si="1"/>
        <v>2.58333333333333</v>
      </c>
      <c r="C33" s="2">
        <f>IF($A33&lt;=Dados_Cliente!$B$8*12,C32+Dados_Cliente!$B$7,C32)</f>
        <v>1300</v>
      </c>
      <c r="D33" s="2">
        <f>IF($A33&lt;=Dados_Cliente!$B$8*12,D32*(1+Dados_Cliente!$B$24)+Dados_Cliente!$B$7,D32)</f>
        <v>1366.26290359263</v>
      </c>
      <c r="E33" s="2">
        <f>IF($A33&lt;=Dados_Cliente!$B$8*12,E32*(1+Dados_Cliente!$B$27)+Dados_Cliente!$B$7,E32)</f>
        <v>1397.58801631734</v>
      </c>
      <c r="F33" s="2">
        <f>IF($A33&lt;=Dados_Cliente!$B$8*12,F32*(1+Dados_Cliente!$B$28)+Dados_Cliente!$B$7,F32)</f>
        <v>1334.50937803276</v>
      </c>
    </row>
    <row r="34" spans="1:6">
      <c r="A34">
        <f t="shared" si="0"/>
        <v>32</v>
      </c>
      <c r="B34">
        <f t="shared" si="1"/>
        <v>2.66666666666667</v>
      </c>
      <c r="C34" s="2">
        <f>IF($A34&lt;=Dados_Cliente!$B$8*12,C33+Dados_Cliente!$B$7,C33)</f>
        <v>1300</v>
      </c>
      <c r="D34" s="2">
        <f>IF($A34&lt;=Dados_Cliente!$B$8*12,D33*(1+Dados_Cliente!$B$24)+Dados_Cliente!$B$7,D33)</f>
        <v>1366.26290359263</v>
      </c>
      <c r="E34" s="2">
        <f>IF($A34&lt;=Dados_Cliente!$B$8*12,E33*(1+Dados_Cliente!$B$27)+Dados_Cliente!$B$7,E33)</f>
        <v>1397.58801631734</v>
      </c>
      <c r="F34" s="2">
        <f>IF($A34&lt;=Dados_Cliente!$B$8*12,F33*(1+Dados_Cliente!$B$28)+Dados_Cliente!$B$7,F33)</f>
        <v>1334.50937803276</v>
      </c>
    </row>
    <row r="35" spans="1:6">
      <c r="A35">
        <f t="shared" si="0"/>
        <v>33</v>
      </c>
      <c r="B35">
        <f t="shared" si="1"/>
        <v>2.75</v>
      </c>
      <c r="C35" s="2">
        <f>IF($A35&lt;=Dados_Cliente!$B$8*12,C34+Dados_Cliente!$B$7,C34)</f>
        <v>1300</v>
      </c>
      <c r="D35" s="2">
        <f>IF($A35&lt;=Dados_Cliente!$B$8*12,D34*(1+Dados_Cliente!$B$24)+Dados_Cliente!$B$7,D34)</f>
        <v>1366.26290359263</v>
      </c>
      <c r="E35" s="2">
        <f>IF($A35&lt;=Dados_Cliente!$B$8*12,E34*(1+Dados_Cliente!$B$27)+Dados_Cliente!$B$7,E34)</f>
        <v>1397.58801631734</v>
      </c>
      <c r="F35" s="2">
        <f>IF($A35&lt;=Dados_Cliente!$B$8*12,F34*(1+Dados_Cliente!$B$28)+Dados_Cliente!$B$7,F34)</f>
        <v>1334.50937803276</v>
      </c>
    </row>
    <row r="36" spans="1:6">
      <c r="A36">
        <f t="shared" si="0"/>
        <v>34</v>
      </c>
      <c r="B36">
        <f t="shared" si="1"/>
        <v>2.83333333333333</v>
      </c>
      <c r="C36" s="2">
        <f>IF($A36&lt;=Dados_Cliente!$B$8*12,C35+Dados_Cliente!$B$7,C35)</f>
        <v>1300</v>
      </c>
      <c r="D36" s="2">
        <f>IF($A36&lt;=Dados_Cliente!$B$8*12,D35*(1+Dados_Cliente!$B$24)+Dados_Cliente!$B$7,D35)</f>
        <v>1366.26290359263</v>
      </c>
      <c r="E36" s="2">
        <f>IF($A36&lt;=Dados_Cliente!$B$8*12,E35*(1+Dados_Cliente!$B$27)+Dados_Cliente!$B$7,E35)</f>
        <v>1397.58801631734</v>
      </c>
      <c r="F36" s="2">
        <f>IF($A36&lt;=Dados_Cliente!$B$8*12,F35*(1+Dados_Cliente!$B$28)+Dados_Cliente!$B$7,F35)</f>
        <v>1334.50937803276</v>
      </c>
    </row>
    <row r="37" spans="1:6">
      <c r="A37">
        <f t="shared" si="0"/>
        <v>35</v>
      </c>
      <c r="B37">
        <f t="shared" si="1"/>
        <v>2.91666666666667</v>
      </c>
      <c r="C37" s="2">
        <f>IF($A37&lt;=Dados_Cliente!$B$8*12,C36+Dados_Cliente!$B$7,C36)</f>
        <v>1300</v>
      </c>
      <c r="D37" s="2">
        <f>IF($A37&lt;=Dados_Cliente!$B$8*12,D36*(1+Dados_Cliente!$B$24)+Dados_Cliente!$B$7,D36)</f>
        <v>1366.26290359263</v>
      </c>
      <c r="E37" s="2">
        <f>IF($A37&lt;=Dados_Cliente!$B$8*12,E36*(1+Dados_Cliente!$B$27)+Dados_Cliente!$B$7,E36)</f>
        <v>1397.58801631734</v>
      </c>
      <c r="F37" s="2">
        <f>IF($A37&lt;=Dados_Cliente!$B$8*12,F36*(1+Dados_Cliente!$B$28)+Dados_Cliente!$B$7,F36)</f>
        <v>1334.50937803276</v>
      </c>
    </row>
    <row r="38" spans="1:6">
      <c r="A38">
        <f t="shared" si="0"/>
        <v>36</v>
      </c>
      <c r="B38">
        <f t="shared" si="1"/>
        <v>3</v>
      </c>
      <c r="C38" s="2">
        <f>IF($A38&lt;=Dados_Cliente!$B$8*12,C37+Dados_Cliente!$B$7,C37)</f>
        <v>1300</v>
      </c>
      <c r="D38" s="2">
        <f>IF($A38&lt;=Dados_Cliente!$B$8*12,D37*(1+Dados_Cliente!$B$24)+Dados_Cliente!$B$7,D37)</f>
        <v>1366.26290359263</v>
      </c>
      <c r="E38" s="2">
        <f>IF($A38&lt;=Dados_Cliente!$B$8*12,E37*(1+Dados_Cliente!$B$27)+Dados_Cliente!$B$7,E37)</f>
        <v>1397.58801631734</v>
      </c>
      <c r="F38" s="2">
        <f>IF($A38&lt;=Dados_Cliente!$B$8*12,F37*(1+Dados_Cliente!$B$28)+Dados_Cliente!$B$7,F37)</f>
        <v>1334.50937803276</v>
      </c>
    </row>
    <row r="39" spans="1:6">
      <c r="A39">
        <f t="shared" si="0"/>
        <v>37</v>
      </c>
      <c r="B39">
        <f t="shared" si="1"/>
        <v>3.08333333333333</v>
      </c>
      <c r="C39" s="2">
        <f>IF($A39&lt;=Dados_Cliente!$B$8*12,C38+Dados_Cliente!$B$7,C38)</f>
        <v>1300</v>
      </c>
      <c r="D39" s="2">
        <f>IF($A39&lt;=Dados_Cliente!$B$8*12,D38*(1+Dados_Cliente!$B$24)+Dados_Cliente!$B$7,D38)</f>
        <v>1366.26290359263</v>
      </c>
      <c r="E39" s="2">
        <f>IF($A39&lt;=Dados_Cliente!$B$8*12,E38*(1+Dados_Cliente!$B$27)+Dados_Cliente!$B$7,E38)</f>
        <v>1397.58801631734</v>
      </c>
      <c r="F39" s="2">
        <f>IF($A39&lt;=Dados_Cliente!$B$8*12,F38*(1+Dados_Cliente!$B$28)+Dados_Cliente!$B$7,F38)</f>
        <v>1334.50937803276</v>
      </c>
    </row>
    <row r="40" spans="1:6">
      <c r="A40">
        <f t="shared" si="0"/>
        <v>38</v>
      </c>
      <c r="B40">
        <f t="shared" si="1"/>
        <v>3.16666666666667</v>
      </c>
      <c r="C40" s="2">
        <f>IF($A40&lt;=Dados_Cliente!$B$8*12,C39+Dados_Cliente!$B$7,C39)</f>
        <v>1300</v>
      </c>
      <c r="D40" s="2">
        <f>IF($A40&lt;=Dados_Cliente!$B$8*12,D39*(1+Dados_Cliente!$B$24)+Dados_Cliente!$B$7,D39)</f>
        <v>1366.26290359263</v>
      </c>
      <c r="E40" s="2">
        <f>IF($A40&lt;=Dados_Cliente!$B$8*12,E39*(1+Dados_Cliente!$B$27)+Dados_Cliente!$B$7,E39)</f>
        <v>1397.58801631734</v>
      </c>
      <c r="F40" s="2">
        <f>IF($A40&lt;=Dados_Cliente!$B$8*12,F39*(1+Dados_Cliente!$B$28)+Dados_Cliente!$B$7,F39)</f>
        <v>1334.50937803276</v>
      </c>
    </row>
    <row r="41" spans="1:6">
      <c r="A41">
        <f t="shared" si="0"/>
        <v>39</v>
      </c>
      <c r="B41">
        <f t="shared" si="1"/>
        <v>3.25</v>
      </c>
      <c r="C41" s="2">
        <f>IF($A41&lt;=Dados_Cliente!$B$8*12,C40+Dados_Cliente!$B$7,C40)</f>
        <v>1300</v>
      </c>
      <c r="D41" s="2">
        <f>IF($A41&lt;=Dados_Cliente!$B$8*12,D40*(1+Dados_Cliente!$B$24)+Dados_Cliente!$B$7,D40)</f>
        <v>1366.26290359263</v>
      </c>
      <c r="E41" s="2">
        <f>IF($A41&lt;=Dados_Cliente!$B$8*12,E40*(1+Dados_Cliente!$B$27)+Dados_Cliente!$B$7,E40)</f>
        <v>1397.58801631734</v>
      </c>
      <c r="F41" s="2">
        <f>IF($A41&lt;=Dados_Cliente!$B$8*12,F40*(1+Dados_Cliente!$B$28)+Dados_Cliente!$B$7,F40)</f>
        <v>1334.50937803276</v>
      </c>
    </row>
    <row r="42" spans="1:6">
      <c r="A42">
        <f t="shared" si="0"/>
        <v>40</v>
      </c>
      <c r="B42">
        <f t="shared" si="1"/>
        <v>3.33333333333333</v>
      </c>
      <c r="C42" s="2">
        <f>IF($A42&lt;=Dados_Cliente!$B$8*12,C41+Dados_Cliente!$B$7,C41)</f>
        <v>1300</v>
      </c>
      <c r="D42" s="2">
        <f>IF($A42&lt;=Dados_Cliente!$B$8*12,D41*(1+Dados_Cliente!$B$24)+Dados_Cliente!$B$7,D41)</f>
        <v>1366.26290359263</v>
      </c>
      <c r="E42" s="2">
        <f>IF($A42&lt;=Dados_Cliente!$B$8*12,E41*(1+Dados_Cliente!$B$27)+Dados_Cliente!$B$7,E41)</f>
        <v>1397.58801631734</v>
      </c>
      <c r="F42" s="2">
        <f>IF($A42&lt;=Dados_Cliente!$B$8*12,F41*(1+Dados_Cliente!$B$28)+Dados_Cliente!$B$7,F41)</f>
        <v>1334.50937803276</v>
      </c>
    </row>
    <row r="43" spans="1:6">
      <c r="A43">
        <f t="shared" si="0"/>
        <v>41</v>
      </c>
      <c r="B43">
        <f t="shared" si="1"/>
        <v>3.41666666666667</v>
      </c>
      <c r="C43" s="2">
        <f>IF($A43&lt;=Dados_Cliente!$B$8*12,C42+Dados_Cliente!$B$7,C42)</f>
        <v>1300</v>
      </c>
      <c r="D43" s="2">
        <f>IF($A43&lt;=Dados_Cliente!$B$8*12,D42*(1+Dados_Cliente!$B$24)+Dados_Cliente!$B$7,D42)</f>
        <v>1366.26290359263</v>
      </c>
      <c r="E43" s="2">
        <f>IF($A43&lt;=Dados_Cliente!$B$8*12,E42*(1+Dados_Cliente!$B$27)+Dados_Cliente!$B$7,E42)</f>
        <v>1397.58801631734</v>
      </c>
      <c r="F43" s="2">
        <f>IF($A43&lt;=Dados_Cliente!$B$8*12,F42*(1+Dados_Cliente!$B$28)+Dados_Cliente!$B$7,F42)</f>
        <v>1334.50937803276</v>
      </c>
    </row>
    <row r="44" spans="1:6">
      <c r="A44">
        <f t="shared" si="0"/>
        <v>42</v>
      </c>
      <c r="B44">
        <f t="shared" si="1"/>
        <v>3.5</v>
      </c>
      <c r="C44" s="2">
        <f>IF($A44&lt;=Dados_Cliente!$B$8*12,C43+Dados_Cliente!$B$7,C43)</f>
        <v>1300</v>
      </c>
      <c r="D44" s="2">
        <f>IF($A44&lt;=Dados_Cliente!$B$8*12,D43*(1+Dados_Cliente!$B$24)+Dados_Cliente!$B$7,D43)</f>
        <v>1366.26290359263</v>
      </c>
      <c r="E44" s="2">
        <f>IF($A44&lt;=Dados_Cliente!$B$8*12,E43*(1+Dados_Cliente!$B$27)+Dados_Cliente!$B$7,E43)</f>
        <v>1397.58801631734</v>
      </c>
      <c r="F44" s="2">
        <f>IF($A44&lt;=Dados_Cliente!$B$8*12,F43*(1+Dados_Cliente!$B$28)+Dados_Cliente!$B$7,F43)</f>
        <v>1334.50937803276</v>
      </c>
    </row>
    <row r="45" spans="1:6">
      <c r="A45">
        <f t="shared" si="0"/>
        <v>43</v>
      </c>
      <c r="B45">
        <f t="shared" si="1"/>
        <v>3.58333333333333</v>
      </c>
      <c r="C45" s="2">
        <f>IF($A45&lt;=Dados_Cliente!$B$8*12,C44+Dados_Cliente!$B$7,C44)</f>
        <v>1300</v>
      </c>
      <c r="D45" s="2">
        <f>IF($A45&lt;=Dados_Cliente!$B$8*12,D44*(1+Dados_Cliente!$B$24)+Dados_Cliente!$B$7,D44)</f>
        <v>1366.26290359263</v>
      </c>
      <c r="E45" s="2">
        <f>IF($A45&lt;=Dados_Cliente!$B$8*12,E44*(1+Dados_Cliente!$B$27)+Dados_Cliente!$B$7,E44)</f>
        <v>1397.58801631734</v>
      </c>
      <c r="F45" s="2">
        <f>IF($A45&lt;=Dados_Cliente!$B$8*12,F44*(1+Dados_Cliente!$B$28)+Dados_Cliente!$B$7,F44)</f>
        <v>1334.50937803276</v>
      </c>
    </row>
    <row r="46" spans="1:6">
      <c r="A46">
        <f t="shared" si="0"/>
        <v>44</v>
      </c>
      <c r="B46">
        <f t="shared" si="1"/>
        <v>3.66666666666667</v>
      </c>
      <c r="C46" s="2">
        <f>IF($A46&lt;=Dados_Cliente!$B$8*12,C45+Dados_Cliente!$B$7,C45)</f>
        <v>1300</v>
      </c>
      <c r="D46" s="2">
        <f>IF($A46&lt;=Dados_Cliente!$B$8*12,D45*(1+Dados_Cliente!$B$24)+Dados_Cliente!$B$7,D45)</f>
        <v>1366.26290359263</v>
      </c>
      <c r="E46" s="2">
        <f>IF($A46&lt;=Dados_Cliente!$B$8*12,E45*(1+Dados_Cliente!$B$27)+Dados_Cliente!$B$7,E45)</f>
        <v>1397.58801631734</v>
      </c>
      <c r="F46" s="2">
        <f>IF($A46&lt;=Dados_Cliente!$B$8*12,F45*(1+Dados_Cliente!$B$28)+Dados_Cliente!$B$7,F45)</f>
        <v>1334.50937803276</v>
      </c>
    </row>
    <row r="47" spans="1:6">
      <c r="A47">
        <f t="shared" si="0"/>
        <v>45</v>
      </c>
      <c r="B47">
        <f t="shared" si="1"/>
        <v>3.75</v>
      </c>
      <c r="C47" s="2">
        <f>IF($A47&lt;=Dados_Cliente!$B$8*12,C46+Dados_Cliente!$B$7,C46)</f>
        <v>1300</v>
      </c>
      <c r="D47" s="2">
        <f>IF($A47&lt;=Dados_Cliente!$B$8*12,D46*(1+Dados_Cliente!$B$24)+Dados_Cliente!$B$7,D46)</f>
        <v>1366.26290359263</v>
      </c>
      <c r="E47" s="2">
        <f>IF($A47&lt;=Dados_Cliente!$B$8*12,E46*(1+Dados_Cliente!$B$27)+Dados_Cliente!$B$7,E46)</f>
        <v>1397.58801631734</v>
      </c>
      <c r="F47" s="2">
        <f>IF($A47&lt;=Dados_Cliente!$B$8*12,F46*(1+Dados_Cliente!$B$28)+Dados_Cliente!$B$7,F46)</f>
        <v>1334.50937803276</v>
      </c>
    </row>
    <row r="48" spans="1:6">
      <c r="A48">
        <f t="shared" si="0"/>
        <v>46</v>
      </c>
      <c r="B48">
        <f t="shared" si="1"/>
        <v>3.83333333333333</v>
      </c>
      <c r="C48" s="2">
        <f>IF($A48&lt;=Dados_Cliente!$B$8*12,C47+Dados_Cliente!$B$7,C47)</f>
        <v>1300</v>
      </c>
      <c r="D48" s="2">
        <f>IF($A48&lt;=Dados_Cliente!$B$8*12,D47*(1+Dados_Cliente!$B$24)+Dados_Cliente!$B$7,D47)</f>
        <v>1366.26290359263</v>
      </c>
      <c r="E48" s="2">
        <f>IF($A48&lt;=Dados_Cliente!$B$8*12,E47*(1+Dados_Cliente!$B$27)+Dados_Cliente!$B$7,E47)</f>
        <v>1397.58801631734</v>
      </c>
      <c r="F48" s="2">
        <f>IF($A48&lt;=Dados_Cliente!$B$8*12,F47*(1+Dados_Cliente!$B$28)+Dados_Cliente!$B$7,F47)</f>
        <v>1334.50937803276</v>
      </c>
    </row>
    <row r="49" spans="1:6">
      <c r="A49">
        <f t="shared" si="0"/>
        <v>47</v>
      </c>
      <c r="B49">
        <f t="shared" si="1"/>
        <v>3.91666666666667</v>
      </c>
      <c r="C49" s="2">
        <f>IF($A49&lt;=Dados_Cliente!$B$8*12,C48+Dados_Cliente!$B$7,C48)</f>
        <v>1300</v>
      </c>
      <c r="D49" s="2">
        <f>IF($A49&lt;=Dados_Cliente!$B$8*12,D48*(1+Dados_Cliente!$B$24)+Dados_Cliente!$B$7,D48)</f>
        <v>1366.26290359263</v>
      </c>
      <c r="E49" s="2">
        <f>IF($A49&lt;=Dados_Cliente!$B$8*12,E48*(1+Dados_Cliente!$B$27)+Dados_Cliente!$B$7,E48)</f>
        <v>1397.58801631734</v>
      </c>
      <c r="F49" s="2">
        <f>IF($A49&lt;=Dados_Cliente!$B$8*12,F48*(1+Dados_Cliente!$B$28)+Dados_Cliente!$B$7,F48)</f>
        <v>1334.50937803276</v>
      </c>
    </row>
    <row r="50" spans="1:6">
      <c r="A50">
        <f t="shared" si="0"/>
        <v>48</v>
      </c>
      <c r="B50">
        <f t="shared" si="1"/>
        <v>4</v>
      </c>
      <c r="C50" s="2">
        <f>IF($A50&lt;=Dados_Cliente!$B$8*12,C49+Dados_Cliente!$B$7,C49)</f>
        <v>1300</v>
      </c>
      <c r="D50" s="2">
        <f>IF($A50&lt;=Dados_Cliente!$B$8*12,D49*(1+Dados_Cliente!$B$24)+Dados_Cliente!$B$7,D49)</f>
        <v>1366.26290359263</v>
      </c>
      <c r="E50" s="2">
        <f>IF($A50&lt;=Dados_Cliente!$B$8*12,E49*(1+Dados_Cliente!$B$27)+Dados_Cliente!$B$7,E49)</f>
        <v>1397.58801631734</v>
      </c>
      <c r="F50" s="2">
        <f>IF($A50&lt;=Dados_Cliente!$B$8*12,F49*(1+Dados_Cliente!$B$28)+Dados_Cliente!$B$7,F49)</f>
        <v>1334.50937803276</v>
      </c>
    </row>
    <row r="51" spans="1:6">
      <c r="A51">
        <f t="shared" si="0"/>
        <v>49</v>
      </c>
      <c r="B51">
        <f t="shared" si="1"/>
        <v>4.08333333333333</v>
      </c>
      <c r="C51" s="2">
        <f>IF($A51&lt;=Dados_Cliente!$B$8*12,C50+Dados_Cliente!$B$7,C50)</f>
        <v>1300</v>
      </c>
      <c r="D51" s="2">
        <f>IF($A51&lt;=Dados_Cliente!$B$8*12,D50*(1+Dados_Cliente!$B$24)+Dados_Cliente!$B$7,D50)</f>
        <v>1366.26290359263</v>
      </c>
      <c r="E51" s="2">
        <f>IF($A51&lt;=Dados_Cliente!$B$8*12,E50*(1+Dados_Cliente!$B$27)+Dados_Cliente!$B$7,E50)</f>
        <v>1397.58801631734</v>
      </c>
      <c r="F51" s="2">
        <f>IF($A51&lt;=Dados_Cliente!$B$8*12,F50*(1+Dados_Cliente!$B$28)+Dados_Cliente!$B$7,F50)</f>
        <v>1334.50937803276</v>
      </c>
    </row>
    <row r="52" spans="1:6">
      <c r="A52">
        <f t="shared" si="0"/>
        <v>50</v>
      </c>
      <c r="B52">
        <f t="shared" si="1"/>
        <v>4.16666666666667</v>
      </c>
      <c r="C52" s="2">
        <f>IF($A52&lt;=Dados_Cliente!$B$8*12,C51+Dados_Cliente!$B$7,C51)</f>
        <v>1300</v>
      </c>
      <c r="D52" s="2">
        <f>IF($A52&lt;=Dados_Cliente!$B$8*12,D51*(1+Dados_Cliente!$B$24)+Dados_Cliente!$B$7,D51)</f>
        <v>1366.26290359263</v>
      </c>
      <c r="E52" s="2">
        <f>IF($A52&lt;=Dados_Cliente!$B$8*12,E51*(1+Dados_Cliente!$B$27)+Dados_Cliente!$B$7,E51)</f>
        <v>1397.58801631734</v>
      </c>
      <c r="F52" s="2">
        <f>IF($A52&lt;=Dados_Cliente!$B$8*12,F51*(1+Dados_Cliente!$B$28)+Dados_Cliente!$B$7,F51)</f>
        <v>1334.50937803276</v>
      </c>
    </row>
    <row r="53" spans="1:6">
      <c r="A53">
        <f t="shared" si="0"/>
        <v>51</v>
      </c>
      <c r="B53">
        <f t="shared" si="1"/>
        <v>4.25</v>
      </c>
      <c r="C53" s="2">
        <f>IF($A53&lt;=Dados_Cliente!$B$8*12,C52+Dados_Cliente!$B$7,C52)</f>
        <v>1300</v>
      </c>
      <c r="D53" s="2">
        <f>IF($A53&lt;=Dados_Cliente!$B$8*12,D52*(1+Dados_Cliente!$B$24)+Dados_Cliente!$B$7,D52)</f>
        <v>1366.26290359263</v>
      </c>
      <c r="E53" s="2">
        <f>IF($A53&lt;=Dados_Cliente!$B$8*12,E52*(1+Dados_Cliente!$B$27)+Dados_Cliente!$B$7,E52)</f>
        <v>1397.58801631734</v>
      </c>
      <c r="F53" s="2">
        <f>IF($A53&lt;=Dados_Cliente!$B$8*12,F52*(1+Dados_Cliente!$B$28)+Dados_Cliente!$B$7,F52)</f>
        <v>1334.50937803276</v>
      </c>
    </row>
    <row r="54" spans="1:6">
      <c r="A54">
        <f t="shared" si="0"/>
        <v>52</v>
      </c>
      <c r="B54">
        <f t="shared" si="1"/>
        <v>4.33333333333333</v>
      </c>
      <c r="C54" s="2">
        <f>IF($A54&lt;=Dados_Cliente!$B$8*12,C53+Dados_Cliente!$B$7,C53)</f>
        <v>1300</v>
      </c>
      <c r="D54" s="2">
        <f>IF($A54&lt;=Dados_Cliente!$B$8*12,D53*(1+Dados_Cliente!$B$24)+Dados_Cliente!$B$7,D53)</f>
        <v>1366.26290359263</v>
      </c>
      <c r="E54" s="2">
        <f>IF($A54&lt;=Dados_Cliente!$B$8*12,E53*(1+Dados_Cliente!$B$27)+Dados_Cliente!$B$7,E53)</f>
        <v>1397.58801631734</v>
      </c>
      <c r="F54" s="2">
        <f>IF($A54&lt;=Dados_Cliente!$B$8*12,F53*(1+Dados_Cliente!$B$28)+Dados_Cliente!$B$7,F53)</f>
        <v>1334.50937803276</v>
      </c>
    </row>
    <row r="55" spans="1:6">
      <c r="A55">
        <f t="shared" si="0"/>
        <v>53</v>
      </c>
      <c r="B55">
        <f t="shared" si="1"/>
        <v>4.41666666666667</v>
      </c>
      <c r="C55" s="2">
        <f>IF($A55&lt;=Dados_Cliente!$B$8*12,C54+Dados_Cliente!$B$7,C54)</f>
        <v>1300</v>
      </c>
      <c r="D55" s="2">
        <f>IF($A55&lt;=Dados_Cliente!$B$8*12,D54*(1+Dados_Cliente!$B$24)+Dados_Cliente!$B$7,D54)</f>
        <v>1366.26290359263</v>
      </c>
      <c r="E55" s="2">
        <f>IF($A55&lt;=Dados_Cliente!$B$8*12,E54*(1+Dados_Cliente!$B$27)+Dados_Cliente!$B$7,E54)</f>
        <v>1397.58801631734</v>
      </c>
      <c r="F55" s="2">
        <f>IF($A55&lt;=Dados_Cliente!$B$8*12,F54*(1+Dados_Cliente!$B$28)+Dados_Cliente!$B$7,F54)</f>
        <v>1334.50937803276</v>
      </c>
    </row>
    <row r="56" spans="1:6">
      <c r="A56">
        <f t="shared" si="0"/>
        <v>54</v>
      </c>
      <c r="B56">
        <f t="shared" si="1"/>
        <v>4.5</v>
      </c>
      <c r="C56" s="2">
        <f>IF($A56&lt;=Dados_Cliente!$B$8*12,C55+Dados_Cliente!$B$7,C55)</f>
        <v>1300</v>
      </c>
      <c r="D56" s="2">
        <f>IF($A56&lt;=Dados_Cliente!$B$8*12,D55*(1+Dados_Cliente!$B$24)+Dados_Cliente!$B$7,D55)</f>
        <v>1366.26290359263</v>
      </c>
      <c r="E56" s="2">
        <f>IF($A56&lt;=Dados_Cliente!$B$8*12,E55*(1+Dados_Cliente!$B$27)+Dados_Cliente!$B$7,E55)</f>
        <v>1397.58801631734</v>
      </c>
      <c r="F56" s="2">
        <f>IF($A56&lt;=Dados_Cliente!$B$8*12,F55*(1+Dados_Cliente!$B$28)+Dados_Cliente!$B$7,F55)</f>
        <v>1334.50937803276</v>
      </c>
    </row>
    <row r="57" spans="1:6">
      <c r="A57">
        <f t="shared" si="0"/>
        <v>55</v>
      </c>
      <c r="B57">
        <f t="shared" si="1"/>
        <v>4.58333333333333</v>
      </c>
      <c r="C57" s="2">
        <f>IF($A57&lt;=Dados_Cliente!$B$8*12,C56+Dados_Cliente!$B$7,C56)</f>
        <v>1300</v>
      </c>
      <c r="D57" s="2">
        <f>IF($A57&lt;=Dados_Cliente!$B$8*12,D56*(1+Dados_Cliente!$B$24)+Dados_Cliente!$B$7,D56)</f>
        <v>1366.26290359263</v>
      </c>
      <c r="E57" s="2">
        <f>IF($A57&lt;=Dados_Cliente!$B$8*12,E56*(1+Dados_Cliente!$B$27)+Dados_Cliente!$B$7,E56)</f>
        <v>1397.58801631734</v>
      </c>
      <c r="F57" s="2">
        <f>IF($A57&lt;=Dados_Cliente!$B$8*12,F56*(1+Dados_Cliente!$B$28)+Dados_Cliente!$B$7,F56)</f>
        <v>1334.50937803276</v>
      </c>
    </row>
    <row r="58" spans="1:6">
      <c r="A58">
        <f t="shared" si="0"/>
        <v>56</v>
      </c>
      <c r="B58">
        <f t="shared" si="1"/>
        <v>4.66666666666667</v>
      </c>
      <c r="C58" s="2">
        <f>IF($A58&lt;=Dados_Cliente!$B$8*12,C57+Dados_Cliente!$B$7,C57)</f>
        <v>1300</v>
      </c>
      <c r="D58" s="2">
        <f>IF($A58&lt;=Dados_Cliente!$B$8*12,D57*(1+Dados_Cliente!$B$24)+Dados_Cliente!$B$7,D57)</f>
        <v>1366.26290359263</v>
      </c>
      <c r="E58" s="2">
        <f>IF($A58&lt;=Dados_Cliente!$B$8*12,E57*(1+Dados_Cliente!$B$27)+Dados_Cliente!$B$7,E57)</f>
        <v>1397.58801631734</v>
      </c>
      <c r="F58" s="2">
        <f>IF($A58&lt;=Dados_Cliente!$B$8*12,F57*(1+Dados_Cliente!$B$28)+Dados_Cliente!$B$7,F57)</f>
        <v>1334.50937803276</v>
      </c>
    </row>
    <row r="59" spans="1:6">
      <c r="A59">
        <f t="shared" si="0"/>
        <v>57</v>
      </c>
      <c r="B59">
        <f t="shared" si="1"/>
        <v>4.75</v>
      </c>
      <c r="C59" s="2">
        <f>IF($A59&lt;=Dados_Cliente!$B$8*12,C58+Dados_Cliente!$B$7,C58)</f>
        <v>1300</v>
      </c>
      <c r="D59" s="2">
        <f>IF($A59&lt;=Dados_Cliente!$B$8*12,D58*(1+Dados_Cliente!$B$24)+Dados_Cliente!$B$7,D58)</f>
        <v>1366.26290359263</v>
      </c>
      <c r="E59" s="2">
        <f>IF($A59&lt;=Dados_Cliente!$B$8*12,E58*(1+Dados_Cliente!$B$27)+Dados_Cliente!$B$7,E58)</f>
        <v>1397.58801631734</v>
      </c>
      <c r="F59" s="2">
        <f>IF($A59&lt;=Dados_Cliente!$B$8*12,F58*(1+Dados_Cliente!$B$28)+Dados_Cliente!$B$7,F58)</f>
        <v>1334.50937803276</v>
      </c>
    </row>
    <row r="60" spans="1:6">
      <c r="A60">
        <f t="shared" si="0"/>
        <v>58</v>
      </c>
      <c r="B60">
        <f t="shared" si="1"/>
        <v>4.83333333333333</v>
      </c>
      <c r="C60" s="2">
        <f>IF($A60&lt;=Dados_Cliente!$B$8*12,C59+Dados_Cliente!$B$7,C59)</f>
        <v>1300</v>
      </c>
      <c r="D60" s="2">
        <f>IF($A60&lt;=Dados_Cliente!$B$8*12,D59*(1+Dados_Cliente!$B$24)+Dados_Cliente!$B$7,D59)</f>
        <v>1366.26290359263</v>
      </c>
      <c r="E60" s="2">
        <f>IF($A60&lt;=Dados_Cliente!$B$8*12,E59*(1+Dados_Cliente!$B$27)+Dados_Cliente!$B$7,E59)</f>
        <v>1397.58801631734</v>
      </c>
      <c r="F60" s="2">
        <f>IF($A60&lt;=Dados_Cliente!$B$8*12,F59*(1+Dados_Cliente!$B$28)+Dados_Cliente!$B$7,F59)</f>
        <v>1334.50937803276</v>
      </c>
    </row>
    <row r="61" spans="1:6">
      <c r="A61">
        <f t="shared" si="0"/>
        <v>59</v>
      </c>
      <c r="B61">
        <f t="shared" si="1"/>
        <v>4.91666666666667</v>
      </c>
      <c r="C61" s="2">
        <f>IF($A61&lt;=Dados_Cliente!$B$8*12,C60+Dados_Cliente!$B$7,C60)</f>
        <v>1300</v>
      </c>
      <c r="D61" s="2">
        <f>IF($A61&lt;=Dados_Cliente!$B$8*12,D60*(1+Dados_Cliente!$B$24)+Dados_Cliente!$B$7,D60)</f>
        <v>1366.26290359263</v>
      </c>
      <c r="E61" s="2">
        <f>IF($A61&lt;=Dados_Cliente!$B$8*12,E60*(1+Dados_Cliente!$B$27)+Dados_Cliente!$B$7,E60)</f>
        <v>1397.58801631734</v>
      </c>
      <c r="F61" s="2">
        <f>IF($A61&lt;=Dados_Cliente!$B$8*12,F60*(1+Dados_Cliente!$B$28)+Dados_Cliente!$B$7,F60)</f>
        <v>1334.50937803276</v>
      </c>
    </row>
    <row r="62" spans="1:6">
      <c r="A62">
        <f t="shared" si="0"/>
        <v>60</v>
      </c>
      <c r="B62">
        <f t="shared" si="1"/>
        <v>5</v>
      </c>
      <c r="C62" s="2">
        <f>IF($A62&lt;=Dados_Cliente!$B$8*12,C61+Dados_Cliente!$B$7,C61)</f>
        <v>1300</v>
      </c>
      <c r="D62" s="2">
        <f>IF($A62&lt;=Dados_Cliente!$B$8*12,D61*(1+Dados_Cliente!$B$24)+Dados_Cliente!$B$7,D61)</f>
        <v>1366.26290359263</v>
      </c>
      <c r="E62" s="2">
        <f>IF($A62&lt;=Dados_Cliente!$B$8*12,E61*(1+Dados_Cliente!$B$27)+Dados_Cliente!$B$7,E61)</f>
        <v>1397.58801631734</v>
      </c>
      <c r="F62" s="2">
        <f>IF($A62&lt;=Dados_Cliente!$B$8*12,F61*(1+Dados_Cliente!$B$28)+Dados_Cliente!$B$7,F61)</f>
        <v>1334.50937803276</v>
      </c>
    </row>
    <row r="63" spans="1:6">
      <c r="A63">
        <f t="shared" si="0"/>
        <v>61</v>
      </c>
      <c r="B63">
        <f t="shared" si="1"/>
        <v>5.08333333333333</v>
      </c>
      <c r="C63" s="2">
        <f>IF($A63&lt;=Dados_Cliente!$B$8*12,C62+Dados_Cliente!$B$7,C62)</f>
        <v>1300</v>
      </c>
      <c r="D63" s="2">
        <f>IF($A63&lt;=Dados_Cliente!$B$8*12,D62*(1+Dados_Cliente!$B$24)+Dados_Cliente!$B$7,D62)</f>
        <v>1366.26290359263</v>
      </c>
      <c r="E63" s="2">
        <f>IF($A63&lt;=Dados_Cliente!$B$8*12,E62*(1+Dados_Cliente!$B$27)+Dados_Cliente!$B$7,E62)</f>
        <v>1397.58801631734</v>
      </c>
      <c r="F63" s="2">
        <f>IF($A63&lt;=Dados_Cliente!$B$8*12,F62*(1+Dados_Cliente!$B$28)+Dados_Cliente!$B$7,F62)</f>
        <v>1334.50937803276</v>
      </c>
    </row>
    <row r="64" spans="1:6">
      <c r="A64">
        <f t="shared" si="0"/>
        <v>62</v>
      </c>
      <c r="B64">
        <f t="shared" si="1"/>
        <v>5.16666666666667</v>
      </c>
      <c r="C64" s="2">
        <f>IF($A64&lt;=Dados_Cliente!$B$8*12,C63+Dados_Cliente!$B$7,C63)</f>
        <v>1300</v>
      </c>
      <c r="D64" s="2">
        <f>IF($A64&lt;=Dados_Cliente!$B$8*12,D63*(1+Dados_Cliente!$B$24)+Dados_Cliente!$B$7,D63)</f>
        <v>1366.26290359263</v>
      </c>
      <c r="E64" s="2">
        <f>IF($A64&lt;=Dados_Cliente!$B$8*12,E63*(1+Dados_Cliente!$B$27)+Dados_Cliente!$B$7,E63)</f>
        <v>1397.58801631734</v>
      </c>
      <c r="F64" s="2">
        <f>IF($A64&lt;=Dados_Cliente!$B$8*12,F63*(1+Dados_Cliente!$B$28)+Dados_Cliente!$B$7,F63)</f>
        <v>1334.50937803276</v>
      </c>
    </row>
    <row r="65" spans="1:6">
      <c r="A65">
        <f t="shared" si="0"/>
        <v>63</v>
      </c>
      <c r="B65">
        <f t="shared" si="1"/>
        <v>5.25</v>
      </c>
      <c r="C65" s="2">
        <f>IF($A65&lt;=Dados_Cliente!$B$8*12,C64+Dados_Cliente!$B$7,C64)</f>
        <v>1300</v>
      </c>
      <c r="D65" s="2">
        <f>IF($A65&lt;=Dados_Cliente!$B$8*12,D64*(1+Dados_Cliente!$B$24)+Dados_Cliente!$B$7,D64)</f>
        <v>1366.26290359263</v>
      </c>
      <c r="E65" s="2">
        <f>IF($A65&lt;=Dados_Cliente!$B$8*12,E64*(1+Dados_Cliente!$B$27)+Dados_Cliente!$B$7,E64)</f>
        <v>1397.58801631734</v>
      </c>
      <c r="F65" s="2">
        <f>IF($A65&lt;=Dados_Cliente!$B$8*12,F64*(1+Dados_Cliente!$B$28)+Dados_Cliente!$B$7,F64)</f>
        <v>1334.50937803276</v>
      </c>
    </row>
    <row r="66" spans="1:6">
      <c r="A66">
        <f t="shared" si="0"/>
        <v>64</v>
      </c>
      <c r="B66">
        <f t="shared" si="1"/>
        <v>5.33333333333333</v>
      </c>
      <c r="C66" s="2">
        <f>IF($A66&lt;=Dados_Cliente!$B$8*12,C65+Dados_Cliente!$B$7,C65)</f>
        <v>1300</v>
      </c>
      <c r="D66" s="2">
        <f>IF($A66&lt;=Dados_Cliente!$B$8*12,D65*(1+Dados_Cliente!$B$24)+Dados_Cliente!$B$7,D65)</f>
        <v>1366.26290359263</v>
      </c>
      <c r="E66" s="2">
        <f>IF($A66&lt;=Dados_Cliente!$B$8*12,E65*(1+Dados_Cliente!$B$27)+Dados_Cliente!$B$7,E65)</f>
        <v>1397.58801631734</v>
      </c>
      <c r="F66" s="2">
        <f>IF($A66&lt;=Dados_Cliente!$B$8*12,F65*(1+Dados_Cliente!$B$28)+Dados_Cliente!$B$7,F65)</f>
        <v>1334.50937803276</v>
      </c>
    </row>
    <row r="67" spans="1:6">
      <c r="A67">
        <f t="shared" ref="A67:A130" si="2">A66+1</f>
        <v>65</v>
      </c>
      <c r="B67">
        <f t="shared" ref="B67:B130" si="3">A67/12</f>
        <v>5.41666666666667</v>
      </c>
      <c r="C67" s="2">
        <f>IF($A67&lt;=Dados_Cliente!$B$8*12,C66+Dados_Cliente!$B$7,C66)</f>
        <v>1300</v>
      </c>
      <c r="D67" s="2">
        <f>IF($A67&lt;=Dados_Cliente!$B$8*12,D66*(1+Dados_Cliente!$B$24)+Dados_Cliente!$B$7,D66)</f>
        <v>1366.26290359263</v>
      </c>
      <c r="E67" s="2">
        <f>IF($A67&lt;=Dados_Cliente!$B$8*12,E66*(1+Dados_Cliente!$B$27)+Dados_Cliente!$B$7,E66)</f>
        <v>1397.58801631734</v>
      </c>
      <c r="F67" s="2">
        <f>IF($A67&lt;=Dados_Cliente!$B$8*12,F66*(1+Dados_Cliente!$B$28)+Dados_Cliente!$B$7,F66)</f>
        <v>1334.50937803276</v>
      </c>
    </row>
    <row r="68" spans="1:6">
      <c r="A68">
        <f t="shared" si="2"/>
        <v>66</v>
      </c>
      <c r="B68">
        <f t="shared" si="3"/>
        <v>5.5</v>
      </c>
      <c r="C68" s="2">
        <f>IF($A68&lt;=Dados_Cliente!$B$8*12,C67+Dados_Cliente!$B$7,C67)</f>
        <v>1300</v>
      </c>
      <c r="D68" s="2">
        <f>IF($A68&lt;=Dados_Cliente!$B$8*12,D67*(1+Dados_Cliente!$B$24)+Dados_Cliente!$B$7,D67)</f>
        <v>1366.26290359263</v>
      </c>
      <c r="E68" s="2">
        <f>IF($A68&lt;=Dados_Cliente!$B$8*12,E67*(1+Dados_Cliente!$B$27)+Dados_Cliente!$B$7,E67)</f>
        <v>1397.58801631734</v>
      </c>
      <c r="F68" s="2">
        <f>IF($A68&lt;=Dados_Cliente!$B$8*12,F67*(1+Dados_Cliente!$B$28)+Dados_Cliente!$B$7,F67)</f>
        <v>1334.50937803276</v>
      </c>
    </row>
    <row r="69" spans="1:6">
      <c r="A69">
        <f t="shared" si="2"/>
        <v>67</v>
      </c>
      <c r="B69">
        <f t="shared" si="3"/>
        <v>5.58333333333333</v>
      </c>
      <c r="C69" s="2">
        <f>IF($A69&lt;=Dados_Cliente!$B$8*12,C68+Dados_Cliente!$B$7,C68)</f>
        <v>1300</v>
      </c>
      <c r="D69" s="2">
        <f>IF($A69&lt;=Dados_Cliente!$B$8*12,D68*(1+Dados_Cliente!$B$24)+Dados_Cliente!$B$7,D68)</f>
        <v>1366.26290359263</v>
      </c>
      <c r="E69" s="2">
        <f>IF($A69&lt;=Dados_Cliente!$B$8*12,E68*(1+Dados_Cliente!$B$27)+Dados_Cliente!$B$7,E68)</f>
        <v>1397.58801631734</v>
      </c>
      <c r="F69" s="2">
        <f>IF($A69&lt;=Dados_Cliente!$B$8*12,F68*(1+Dados_Cliente!$B$28)+Dados_Cliente!$B$7,F68)</f>
        <v>1334.50937803276</v>
      </c>
    </row>
    <row r="70" spans="1:6">
      <c r="A70">
        <f t="shared" si="2"/>
        <v>68</v>
      </c>
      <c r="B70">
        <f t="shared" si="3"/>
        <v>5.66666666666667</v>
      </c>
      <c r="C70" s="2">
        <f>IF($A70&lt;=Dados_Cliente!$B$8*12,C69+Dados_Cliente!$B$7,C69)</f>
        <v>1300</v>
      </c>
      <c r="D70" s="2">
        <f>IF($A70&lt;=Dados_Cliente!$B$8*12,D69*(1+Dados_Cliente!$B$24)+Dados_Cliente!$B$7,D69)</f>
        <v>1366.26290359263</v>
      </c>
      <c r="E70" s="2">
        <f>IF($A70&lt;=Dados_Cliente!$B$8*12,E69*(1+Dados_Cliente!$B$27)+Dados_Cliente!$B$7,E69)</f>
        <v>1397.58801631734</v>
      </c>
      <c r="F70" s="2">
        <f>IF($A70&lt;=Dados_Cliente!$B$8*12,F69*(1+Dados_Cliente!$B$28)+Dados_Cliente!$B$7,F69)</f>
        <v>1334.50937803276</v>
      </c>
    </row>
    <row r="71" spans="1:6">
      <c r="A71">
        <f t="shared" si="2"/>
        <v>69</v>
      </c>
      <c r="B71">
        <f t="shared" si="3"/>
        <v>5.75</v>
      </c>
      <c r="C71" s="2">
        <f>IF($A71&lt;=Dados_Cliente!$B$8*12,C70+Dados_Cliente!$B$7,C70)</f>
        <v>1300</v>
      </c>
      <c r="D71" s="2">
        <f>IF($A71&lt;=Dados_Cliente!$B$8*12,D70*(1+Dados_Cliente!$B$24)+Dados_Cliente!$B$7,D70)</f>
        <v>1366.26290359263</v>
      </c>
      <c r="E71" s="2">
        <f>IF($A71&lt;=Dados_Cliente!$B$8*12,E70*(1+Dados_Cliente!$B$27)+Dados_Cliente!$B$7,E70)</f>
        <v>1397.58801631734</v>
      </c>
      <c r="F71" s="2">
        <f>IF($A71&lt;=Dados_Cliente!$B$8*12,F70*(1+Dados_Cliente!$B$28)+Dados_Cliente!$B$7,F70)</f>
        <v>1334.50937803276</v>
      </c>
    </row>
    <row r="72" spans="1:6">
      <c r="A72">
        <f t="shared" si="2"/>
        <v>70</v>
      </c>
      <c r="B72">
        <f t="shared" si="3"/>
        <v>5.83333333333333</v>
      </c>
      <c r="C72" s="2">
        <f>IF($A72&lt;=Dados_Cliente!$B$8*12,C71+Dados_Cliente!$B$7,C71)</f>
        <v>1300</v>
      </c>
      <c r="D72" s="2">
        <f>IF($A72&lt;=Dados_Cliente!$B$8*12,D71*(1+Dados_Cliente!$B$24)+Dados_Cliente!$B$7,D71)</f>
        <v>1366.26290359263</v>
      </c>
      <c r="E72" s="2">
        <f>IF($A72&lt;=Dados_Cliente!$B$8*12,E71*(1+Dados_Cliente!$B$27)+Dados_Cliente!$B$7,E71)</f>
        <v>1397.58801631734</v>
      </c>
      <c r="F72" s="2">
        <f>IF($A72&lt;=Dados_Cliente!$B$8*12,F71*(1+Dados_Cliente!$B$28)+Dados_Cliente!$B$7,F71)</f>
        <v>1334.50937803276</v>
      </c>
    </row>
    <row r="73" spans="1:6">
      <c r="A73">
        <f t="shared" si="2"/>
        <v>71</v>
      </c>
      <c r="B73">
        <f t="shared" si="3"/>
        <v>5.91666666666667</v>
      </c>
      <c r="C73" s="2">
        <f>IF($A73&lt;=Dados_Cliente!$B$8*12,C72+Dados_Cliente!$B$7,C72)</f>
        <v>1300</v>
      </c>
      <c r="D73" s="2">
        <f>IF($A73&lt;=Dados_Cliente!$B$8*12,D72*(1+Dados_Cliente!$B$24)+Dados_Cliente!$B$7,D72)</f>
        <v>1366.26290359263</v>
      </c>
      <c r="E73" s="2">
        <f>IF($A73&lt;=Dados_Cliente!$B$8*12,E72*(1+Dados_Cliente!$B$27)+Dados_Cliente!$B$7,E72)</f>
        <v>1397.58801631734</v>
      </c>
      <c r="F73" s="2">
        <f>IF($A73&lt;=Dados_Cliente!$B$8*12,F72*(1+Dados_Cliente!$B$28)+Dados_Cliente!$B$7,F72)</f>
        <v>1334.50937803276</v>
      </c>
    </row>
    <row r="74" spans="1:6">
      <c r="A74">
        <f t="shared" si="2"/>
        <v>72</v>
      </c>
      <c r="B74">
        <f t="shared" si="3"/>
        <v>6</v>
      </c>
      <c r="C74" s="2">
        <f>IF($A74&lt;=Dados_Cliente!$B$8*12,C73+Dados_Cliente!$B$7,C73)</f>
        <v>1300</v>
      </c>
      <c r="D74" s="2">
        <f>IF($A74&lt;=Dados_Cliente!$B$8*12,D73*(1+Dados_Cliente!$B$24)+Dados_Cliente!$B$7,D73)</f>
        <v>1366.26290359263</v>
      </c>
      <c r="E74" s="2">
        <f>IF($A74&lt;=Dados_Cliente!$B$8*12,E73*(1+Dados_Cliente!$B$27)+Dados_Cliente!$B$7,E73)</f>
        <v>1397.58801631734</v>
      </c>
      <c r="F74" s="2">
        <f>IF($A74&lt;=Dados_Cliente!$B$8*12,F73*(1+Dados_Cliente!$B$28)+Dados_Cliente!$B$7,F73)</f>
        <v>1334.50937803276</v>
      </c>
    </row>
    <row r="75" spans="1:6">
      <c r="A75">
        <f t="shared" si="2"/>
        <v>73</v>
      </c>
      <c r="B75">
        <f t="shared" si="3"/>
        <v>6.08333333333333</v>
      </c>
      <c r="C75" s="2">
        <f>IF($A75&lt;=Dados_Cliente!$B$8*12,C74+Dados_Cliente!$B$7,C74)</f>
        <v>1300</v>
      </c>
      <c r="D75" s="2">
        <f>IF($A75&lt;=Dados_Cliente!$B$8*12,D74*(1+Dados_Cliente!$B$24)+Dados_Cliente!$B$7,D74)</f>
        <v>1366.26290359263</v>
      </c>
      <c r="E75" s="2">
        <f>IF($A75&lt;=Dados_Cliente!$B$8*12,E74*(1+Dados_Cliente!$B$27)+Dados_Cliente!$B$7,E74)</f>
        <v>1397.58801631734</v>
      </c>
      <c r="F75" s="2">
        <f>IF($A75&lt;=Dados_Cliente!$B$8*12,F74*(1+Dados_Cliente!$B$28)+Dados_Cliente!$B$7,F74)</f>
        <v>1334.50937803276</v>
      </c>
    </row>
    <row r="76" spans="1:6">
      <c r="A76">
        <f t="shared" si="2"/>
        <v>74</v>
      </c>
      <c r="B76">
        <f t="shared" si="3"/>
        <v>6.16666666666667</v>
      </c>
      <c r="C76" s="2">
        <f>IF($A76&lt;=Dados_Cliente!$B$8*12,C75+Dados_Cliente!$B$7,C75)</f>
        <v>1300</v>
      </c>
      <c r="D76" s="2">
        <f>IF($A76&lt;=Dados_Cliente!$B$8*12,D75*(1+Dados_Cliente!$B$24)+Dados_Cliente!$B$7,D75)</f>
        <v>1366.26290359263</v>
      </c>
      <c r="E76" s="2">
        <f>IF($A76&lt;=Dados_Cliente!$B$8*12,E75*(1+Dados_Cliente!$B$27)+Dados_Cliente!$B$7,E75)</f>
        <v>1397.58801631734</v>
      </c>
      <c r="F76" s="2">
        <f>IF($A76&lt;=Dados_Cliente!$B$8*12,F75*(1+Dados_Cliente!$B$28)+Dados_Cliente!$B$7,F75)</f>
        <v>1334.50937803276</v>
      </c>
    </row>
    <row r="77" spans="1:6">
      <c r="A77">
        <f t="shared" si="2"/>
        <v>75</v>
      </c>
      <c r="B77">
        <f t="shared" si="3"/>
        <v>6.25</v>
      </c>
      <c r="C77" s="2">
        <f>IF($A77&lt;=Dados_Cliente!$B$8*12,C76+Dados_Cliente!$B$7,C76)</f>
        <v>1300</v>
      </c>
      <c r="D77" s="2">
        <f>IF($A77&lt;=Dados_Cliente!$B$8*12,D76*(1+Dados_Cliente!$B$24)+Dados_Cliente!$B$7,D76)</f>
        <v>1366.26290359263</v>
      </c>
      <c r="E77" s="2">
        <f>IF($A77&lt;=Dados_Cliente!$B$8*12,E76*(1+Dados_Cliente!$B$27)+Dados_Cliente!$B$7,E76)</f>
        <v>1397.58801631734</v>
      </c>
      <c r="F77" s="2">
        <f>IF($A77&lt;=Dados_Cliente!$B$8*12,F76*(1+Dados_Cliente!$B$28)+Dados_Cliente!$B$7,F76)</f>
        <v>1334.50937803276</v>
      </c>
    </row>
    <row r="78" spans="1:6">
      <c r="A78">
        <f t="shared" si="2"/>
        <v>76</v>
      </c>
      <c r="B78">
        <f t="shared" si="3"/>
        <v>6.33333333333333</v>
      </c>
      <c r="C78" s="2">
        <f>IF($A78&lt;=Dados_Cliente!$B$8*12,C77+Dados_Cliente!$B$7,C77)</f>
        <v>1300</v>
      </c>
      <c r="D78" s="2">
        <f>IF($A78&lt;=Dados_Cliente!$B$8*12,D77*(1+Dados_Cliente!$B$24)+Dados_Cliente!$B$7,D77)</f>
        <v>1366.26290359263</v>
      </c>
      <c r="E78" s="2">
        <f>IF($A78&lt;=Dados_Cliente!$B$8*12,E77*(1+Dados_Cliente!$B$27)+Dados_Cliente!$B$7,E77)</f>
        <v>1397.58801631734</v>
      </c>
      <c r="F78" s="2">
        <f>IF($A78&lt;=Dados_Cliente!$B$8*12,F77*(1+Dados_Cliente!$B$28)+Dados_Cliente!$B$7,F77)</f>
        <v>1334.50937803276</v>
      </c>
    </row>
    <row r="79" spans="1:6">
      <c r="A79">
        <f t="shared" si="2"/>
        <v>77</v>
      </c>
      <c r="B79">
        <f t="shared" si="3"/>
        <v>6.41666666666667</v>
      </c>
      <c r="C79" s="2">
        <f>IF($A79&lt;=Dados_Cliente!$B$8*12,C78+Dados_Cliente!$B$7,C78)</f>
        <v>1300</v>
      </c>
      <c r="D79" s="2">
        <f>IF($A79&lt;=Dados_Cliente!$B$8*12,D78*(1+Dados_Cliente!$B$24)+Dados_Cliente!$B$7,D78)</f>
        <v>1366.26290359263</v>
      </c>
      <c r="E79" s="2">
        <f>IF($A79&lt;=Dados_Cliente!$B$8*12,E78*(1+Dados_Cliente!$B$27)+Dados_Cliente!$B$7,E78)</f>
        <v>1397.58801631734</v>
      </c>
      <c r="F79" s="2">
        <f>IF($A79&lt;=Dados_Cliente!$B$8*12,F78*(1+Dados_Cliente!$B$28)+Dados_Cliente!$B$7,F78)</f>
        <v>1334.50937803276</v>
      </c>
    </row>
    <row r="80" spans="1:6">
      <c r="A80">
        <f t="shared" si="2"/>
        <v>78</v>
      </c>
      <c r="B80">
        <f t="shared" si="3"/>
        <v>6.5</v>
      </c>
      <c r="C80" s="2">
        <f>IF($A80&lt;=Dados_Cliente!$B$8*12,C79+Dados_Cliente!$B$7,C79)</f>
        <v>1300</v>
      </c>
      <c r="D80" s="2">
        <f>IF($A80&lt;=Dados_Cliente!$B$8*12,D79*(1+Dados_Cliente!$B$24)+Dados_Cliente!$B$7,D79)</f>
        <v>1366.26290359263</v>
      </c>
      <c r="E80" s="2">
        <f>IF($A80&lt;=Dados_Cliente!$B$8*12,E79*(1+Dados_Cliente!$B$27)+Dados_Cliente!$B$7,E79)</f>
        <v>1397.58801631734</v>
      </c>
      <c r="F80" s="2">
        <f>IF($A80&lt;=Dados_Cliente!$B$8*12,F79*(1+Dados_Cliente!$B$28)+Dados_Cliente!$B$7,F79)</f>
        <v>1334.50937803276</v>
      </c>
    </row>
    <row r="81" spans="1:6">
      <c r="A81">
        <f t="shared" si="2"/>
        <v>79</v>
      </c>
      <c r="B81">
        <f t="shared" si="3"/>
        <v>6.58333333333333</v>
      </c>
      <c r="C81" s="2">
        <f>IF($A81&lt;=Dados_Cliente!$B$8*12,C80+Dados_Cliente!$B$7,C80)</f>
        <v>1300</v>
      </c>
      <c r="D81" s="2">
        <f>IF($A81&lt;=Dados_Cliente!$B$8*12,D80*(1+Dados_Cliente!$B$24)+Dados_Cliente!$B$7,D80)</f>
        <v>1366.26290359263</v>
      </c>
      <c r="E81" s="2">
        <f>IF($A81&lt;=Dados_Cliente!$B$8*12,E80*(1+Dados_Cliente!$B$27)+Dados_Cliente!$B$7,E80)</f>
        <v>1397.58801631734</v>
      </c>
      <c r="F81" s="2">
        <f>IF($A81&lt;=Dados_Cliente!$B$8*12,F80*(1+Dados_Cliente!$B$28)+Dados_Cliente!$B$7,F80)</f>
        <v>1334.50937803276</v>
      </c>
    </row>
    <row r="82" spans="1:6">
      <c r="A82">
        <f t="shared" si="2"/>
        <v>80</v>
      </c>
      <c r="B82">
        <f t="shared" si="3"/>
        <v>6.66666666666667</v>
      </c>
      <c r="C82" s="2">
        <f>IF($A82&lt;=Dados_Cliente!$B$8*12,C81+Dados_Cliente!$B$7,C81)</f>
        <v>1300</v>
      </c>
      <c r="D82" s="2">
        <f>IF($A82&lt;=Dados_Cliente!$B$8*12,D81*(1+Dados_Cliente!$B$24)+Dados_Cliente!$B$7,D81)</f>
        <v>1366.26290359263</v>
      </c>
      <c r="E82" s="2">
        <f>IF($A82&lt;=Dados_Cliente!$B$8*12,E81*(1+Dados_Cliente!$B$27)+Dados_Cliente!$B$7,E81)</f>
        <v>1397.58801631734</v>
      </c>
      <c r="F82" s="2">
        <f>IF($A82&lt;=Dados_Cliente!$B$8*12,F81*(1+Dados_Cliente!$B$28)+Dados_Cliente!$B$7,F81)</f>
        <v>1334.50937803276</v>
      </c>
    </row>
    <row r="83" spans="1:6">
      <c r="A83">
        <f t="shared" si="2"/>
        <v>81</v>
      </c>
      <c r="B83">
        <f t="shared" si="3"/>
        <v>6.75</v>
      </c>
      <c r="C83" s="2">
        <f>IF($A83&lt;=Dados_Cliente!$B$8*12,C82+Dados_Cliente!$B$7,C82)</f>
        <v>1300</v>
      </c>
      <c r="D83" s="2">
        <f>IF($A83&lt;=Dados_Cliente!$B$8*12,D82*(1+Dados_Cliente!$B$24)+Dados_Cliente!$B$7,D82)</f>
        <v>1366.26290359263</v>
      </c>
      <c r="E83" s="2">
        <f>IF($A83&lt;=Dados_Cliente!$B$8*12,E82*(1+Dados_Cliente!$B$27)+Dados_Cliente!$B$7,E82)</f>
        <v>1397.58801631734</v>
      </c>
      <c r="F83" s="2">
        <f>IF($A83&lt;=Dados_Cliente!$B$8*12,F82*(1+Dados_Cliente!$B$28)+Dados_Cliente!$B$7,F82)</f>
        <v>1334.50937803276</v>
      </c>
    </row>
    <row r="84" spans="1:6">
      <c r="A84">
        <f t="shared" si="2"/>
        <v>82</v>
      </c>
      <c r="B84">
        <f t="shared" si="3"/>
        <v>6.83333333333333</v>
      </c>
      <c r="C84" s="2">
        <f>IF($A84&lt;=Dados_Cliente!$B$8*12,C83+Dados_Cliente!$B$7,C83)</f>
        <v>1300</v>
      </c>
      <c r="D84" s="2">
        <f>IF($A84&lt;=Dados_Cliente!$B$8*12,D83*(1+Dados_Cliente!$B$24)+Dados_Cliente!$B$7,D83)</f>
        <v>1366.26290359263</v>
      </c>
      <c r="E84" s="2">
        <f>IF($A84&lt;=Dados_Cliente!$B$8*12,E83*(1+Dados_Cliente!$B$27)+Dados_Cliente!$B$7,E83)</f>
        <v>1397.58801631734</v>
      </c>
      <c r="F84" s="2">
        <f>IF($A84&lt;=Dados_Cliente!$B$8*12,F83*(1+Dados_Cliente!$B$28)+Dados_Cliente!$B$7,F83)</f>
        <v>1334.50937803276</v>
      </c>
    </row>
    <row r="85" spans="1:6">
      <c r="A85">
        <f t="shared" si="2"/>
        <v>83</v>
      </c>
      <c r="B85">
        <f t="shared" si="3"/>
        <v>6.91666666666667</v>
      </c>
      <c r="C85" s="2">
        <f>IF($A85&lt;=Dados_Cliente!$B$8*12,C84+Dados_Cliente!$B$7,C84)</f>
        <v>1300</v>
      </c>
      <c r="D85" s="2">
        <f>IF($A85&lt;=Dados_Cliente!$B$8*12,D84*(1+Dados_Cliente!$B$24)+Dados_Cliente!$B$7,D84)</f>
        <v>1366.26290359263</v>
      </c>
      <c r="E85" s="2">
        <f>IF($A85&lt;=Dados_Cliente!$B$8*12,E84*(1+Dados_Cliente!$B$27)+Dados_Cliente!$B$7,E84)</f>
        <v>1397.58801631734</v>
      </c>
      <c r="F85" s="2">
        <f>IF($A85&lt;=Dados_Cliente!$B$8*12,F84*(1+Dados_Cliente!$B$28)+Dados_Cliente!$B$7,F84)</f>
        <v>1334.50937803276</v>
      </c>
    </row>
    <row r="86" spans="1:6">
      <c r="A86">
        <f t="shared" si="2"/>
        <v>84</v>
      </c>
      <c r="B86">
        <f t="shared" si="3"/>
        <v>7</v>
      </c>
      <c r="C86" s="2">
        <f>IF($A86&lt;=Dados_Cliente!$B$8*12,C85+Dados_Cliente!$B$7,C85)</f>
        <v>1300</v>
      </c>
      <c r="D86" s="2">
        <f>IF($A86&lt;=Dados_Cliente!$B$8*12,D85*(1+Dados_Cliente!$B$24)+Dados_Cliente!$B$7,D85)</f>
        <v>1366.26290359263</v>
      </c>
      <c r="E86" s="2">
        <f>IF($A86&lt;=Dados_Cliente!$B$8*12,E85*(1+Dados_Cliente!$B$27)+Dados_Cliente!$B$7,E85)</f>
        <v>1397.58801631734</v>
      </c>
      <c r="F86" s="2">
        <f>IF($A86&lt;=Dados_Cliente!$B$8*12,F85*(1+Dados_Cliente!$B$28)+Dados_Cliente!$B$7,F85)</f>
        <v>1334.50937803276</v>
      </c>
    </row>
    <row r="87" spans="1:6">
      <c r="A87">
        <f t="shared" si="2"/>
        <v>85</v>
      </c>
      <c r="B87">
        <f t="shared" si="3"/>
        <v>7.08333333333333</v>
      </c>
      <c r="C87" s="2">
        <f>IF($A87&lt;=Dados_Cliente!$B$8*12,C86+Dados_Cliente!$B$7,C86)</f>
        <v>1300</v>
      </c>
      <c r="D87" s="2">
        <f>IF($A87&lt;=Dados_Cliente!$B$8*12,D86*(1+Dados_Cliente!$B$24)+Dados_Cliente!$B$7,D86)</f>
        <v>1366.26290359263</v>
      </c>
      <c r="E87" s="2">
        <f>IF($A87&lt;=Dados_Cliente!$B$8*12,E86*(1+Dados_Cliente!$B$27)+Dados_Cliente!$B$7,E86)</f>
        <v>1397.58801631734</v>
      </c>
      <c r="F87" s="2">
        <f>IF($A87&lt;=Dados_Cliente!$B$8*12,F86*(1+Dados_Cliente!$B$28)+Dados_Cliente!$B$7,F86)</f>
        <v>1334.50937803276</v>
      </c>
    </row>
    <row r="88" spans="1:6">
      <c r="A88">
        <f t="shared" si="2"/>
        <v>86</v>
      </c>
      <c r="B88">
        <f t="shared" si="3"/>
        <v>7.16666666666667</v>
      </c>
      <c r="C88" s="2">
        <f>IF($A88&lt;=Dados_Cliente!$B$8*12,C87+Dados_Cliente!$B$7,C87)</f>
        <v>1300</v>
      </c>
      <c r="D88" s="2">
        <f>IF($A88&lt;=Dados_Cliente!$B$8*12,D87*(1+Dados_Cliente!$B$24)+Dados_Cliente!$B$7,D87)</f>
        <v>1366.26290359263</v>
      </c>
      <c r="E88" s="2">
        <f>IF($A88&lt;=Dados_Cliente!$B$8*12,E87*(1+Dados_Cliente!$B$27)+Dados_Cliente!$B$7,E87)</f>
        <v>1397.58801631734</v>
      </c>
      <c r="F88" s="2">
        <f>IF($A88&lt;=Dados_Cliente!$B$8*12,F87*(1+Dados_Cliente!$B$28)+Dados_Cliente!$B$7,F87)</f>
        <v>1334.50937803276</v>
      </c>
    </row>
    <row r="89" spans="1:6">
      <c r="A89">
        <f t="shared" si="2"/>
        <v>87</v>
      </c>
      <c r="B89">
        <f t="shared" si="3"/>
        <v>7.25</v>
      </c>
      <c r="C89" s="2">
        <f>IF($A89&lt;=Dados_Cliente!$B$8*12,C88+Dados_Cliente!$B$7,C88)</f>
        <v>1300</v>
      </c>
      <c r="D89" s="2">
        <f>IF($A89&lt;=Dados_Cliente!$B$8*12,D88*(1+Dados_Cliente!$B$24)+Dados_Cliente!$B$7,D88)</f>
        <v>1366.26290359263</v>
      </c>
      <c r="E89" s="2">
        <f>IF($A89&lt;=Dados_Cliente!$B$8*12,E88*(1+Dados_Cliente!$B$27)+Dados_Cliente!$B$7,E88)</f>
        <v>1397.58801631734</v>
      </c>
      <c r="F89" s="2">
        <f>IF($A89&lt;=Dados_Cliente!$B$8*12,F88*(1+Dados_Cliente!$B$28)+Dados_Cliente!$B$7,F88)</f>
        <v>1334.50937803276</v>
      </c>
    </row>
    <row r="90" spans="1:6">
      <c r="A90">
        <f t="shared" si="2"/>
        <v>88</v>
      </c>
      <c r="B90">
        <f t="shared" si="3"/>
        <v>7.33333333333333</v>
      </c>
      <c r="C90" s="2">
        <f>IF($A90&lt;=Dados_Cliente!$B$8*12,C89+Dados_Cliente!$B$7,C89)</f>
        <v>1300</v>
      </c>
      <c r="D90" s="2">
        <f>IF($A90&lt;=Dados_Cliente!$B$8*12,D89*(1+Dados_Cliente!$B$24)+Dados_Cliente!$B$7,D89)</f>
        <v>1366.26290359263</v>
      </c>
      <c r="E90" s="2">
        <f>IF($A90&lt;=Dados_Cliente!$B$8*12,E89*(1+Dados_Cliente!$B$27)+Dados_Cliente!$B$7,E89)</f>
        <v>1397.58801631734</v>
      </c>
      <c r="F90" s="2">
        <f>IF($A90&lt;=Dados_Cliente!$B$8*12,F89*(1+Dados_Cliente!$B$28)+Dados_Cliente!$B$7,F89)</f>
        <v>1334.50937803276</v>
      </c>
    </row>
    <row r="91" spans="1:6">
      <c r="A91">
        <f t="shared" si="2"/>
        <v>89</v>
      </c>
      <c r="B91">
        <f t="shared" si="3"/>
        <v>7.41666666666667</v>
      </c>
      <c r="C91" s="2">
        <f>IF($A91&lt;=Dados_Cliente!$B$8*12,C90+Dados_Cliente!$B$7,C90)</f>
        <v>1300</v>
      </c>
      <c r="D91" s="2">
        <f>IF($A91&lt;=Dados_Cliente!$B$8*12,D90*(1+Dados_Cliente!$B$24)+Dados_Cliente!$B$7,D90)</f>
        <v>1366.26290359263</v>
      </c>
      <c r="E91" s="2">
        <f>IF($A91&lt;=Dados_Cliente!$B$8*12,E90*(1+Dados_Cliente!$B$27)+Dados_Cliente!$B$7,E90)</f>
        <v>1397.58801631734</v>
      </c>
      <c r="F91" s="2">
        <f>IF($A91&lt;=Dados_Cliente!$B$8*12,F90*(1+Dados_Cliente!$B$28)+Dados_Cliente!$B$7,F90)</f>
        <v>1334.50937803276</v>
      </c>
    </row>
    <row r="92" spans="1:6">
      <c r="A92">
        <f t="shared" si="2"/>
        <v>90</v>
      </c>
      <c r="B92">
        <f t="shared" si="3"/>
        <v>7.5</v>
      </c>
      <c r="C92" s="2">
        <f>IF($A92&lt;=Dados_Cliente!$B$8*12,C91+Dados_Cliente!$B$7,C91)</f>
        <v>1300</v>
      </c>
      <c r="D92" s="2">
        <f>IF($A92&lt;=Dados_Cliente!$B$8*12,D91*(1+Dados_Cliente!$B$24)+Dados_Cliente!$B$7,D91)</f>
        <v>1366.26290359263</v>
      </c>
      <c r="E92" s="2">
        <f>IF($A92&lt;=Dados_Cliente!$B$8*12,E91*(1+Dados_Cliente!$B$27)+Dados_Cliente!$B$7,E91)</f>
        <v>1397.58801631734</v>
      </c>
      <c r="F92" s="2">
        <f>IF($A92&lt;=Dados_Cliente!$B$8*12,F91*(1+Dados_Cliente!$B$28)+Dados_Cliente!$B$7,F91)</f>
        <v>1334.50937803276</v>
      </c>
    </row>
    <row r="93" spans="1:6">
      <c r="A93">
        <f t="shared" si="2"/>
        <v>91</v>
      </c>
      <c r="B93">
        <f t="shared" si="3"/>
        <v>7.58333333333333</v>
      </c>
      <c r="C93" s="2">
        <f>IF($A93&lt;=Dados_Cliente!$B$8*12,C92+Dados_Cliente!$B$7,C92)</f>
        <v>1300</v>
      </c>
      <c r="D93" s="2">
        <f>IF($A93&lt;=Dados_Cliente!$B$8*12,D92*(1+Dados_Cliente!$B$24)+Dados_Cliente!$B$7,D92)</f>
        <v>1366.26290359263</v>
      </c>
      <c r="E93" s="2">
        <f>IF($A93&lt;=Dados_Cliente!$B$8*12,E92*(1+Dados_Cliente!$B$27)+Dados_Cliente!$B$7,E92)</f>
        <v>1397.58801631734</v>
      </c>
      <c r="F93" s="2">
        <f>IF($A93&lt;=Dados_Cliente!$B$8*12,F92*(1+Dados_Cliente!$B$28)+Dados_Cliente!$B$7,F92)</f>
        <v>1334.50937803276</v>
      </c>
    </row>
    <row r="94" spans="1:6">
      <c r="A94">
        <f t="shared" si="2"/>
        <v>92</v>
      </c>
      <c r="B94">
        <f t="shared" si="3"/>
        <v>7.66666666666667</v>
      </c>
      <c r="C94" s="2">
        <f>IF($A94&lt;=Dados_Cliente!$B$8*12,C93+Dados_Cliente!$B$7,C93)</f>
        <v>1300</v>
      </c>
      <c r="D94" s="2">
        <f>IF($A94&lt;=Dados_Cliente!$B$8*12,D93*(1+Dados_Cliente!$B$24)+Dados_Cliente!$B$7,D93)</f>
        <v>1366.26290359263</v>
      </c>
      <c r="E94" s="2">
        <f>IF($A94&lt;=Dados_Cliente!$B$8*12,E93*(1+Dados_Cliente!$B$27)+Dados_Cliente!$B$7,E93)</f>
        <v>1397.58801631734</v>
      </c>
      <c r="F94" s="2">
        <f>IF($A94&lt;=Dados_Cliente!$B$8*12,F93*(1+Dados_Cliente!$B$28)+Dados_Cliente!$B$7,F93)</f>
        <v>1334.50937803276</v>
      </c>
    </row>
    <row r="95" spans="1:6">
      <c r="A95">
        <f t="shared" si="2"/>
        <v>93</v>
      </c>
      <c r="B95">
        <f t="shared" si="3"/>
        <v>7.75</v>
      </c>
      <c r="C95" s="2">
        <f>IF($A95&lt;=Dados_Cliente!$B$8*12,C94+Dados_Cliente!$B$7,C94)</f>
        <v>1300</v>
      </c>
      <c r="D95" s="2">
        <f>IF($A95&lt;=Dados_Cliente!$B$8*12,D94*(1+Dados_Cliente!$B$24)+Dados_Cliente!$B$7,D94)</f>
        <v>1366.26290359263</v>
      </c>
      <c r="E95" s="2">
        <f>IF($A95&lt;=Dados_Cliente!$B$8*12,E94*(1+Dados_Cliente!$B$27)+Dados_Cliente!$B$7,E94)</f>
        <v>1397.58801631734</v>
      </c>
      <c r="F95" s="2">
        <f>IF($A95&lt;=Dados_Cliente!$B$8*12,F94*(1+Dados_Cliente!$B$28)+Dados_Cliente!$B$7,F94)</f>
        <v>1334.50937803276</v>
      </c>
    </row>
    <row r="96" spans="1:6">
      <c r="A96">
        <f t="shared" si="2"/>
        <v>94</v>
      </c>
      <c r="B96">
        <f t="shared" si="3"/>
        <v>7.83333333333333</v>
      </c>
      <c r="C96" s="2">
        <f>IF($A96&lt;=Dados_Cliente!$B$8*12,C95+Dados_Cliente!$B$7,C95)</f>
        <v>1300</v>
      </c>
      <c r="D96" s="2">
        <f>IF($A96&lt;=Dados_Cliente!$B$8*12,D95*(1+Dados_Cliente!$B$24)+Dados_Cliente!$B$7,D95)</f>
        <v>1366.26290359263</v>
      </c>
      <c r="E96" s="2">
        <f>IF($A96&lt;=Dados_Cliente!$B$8*12,E95*(1+Dados_Cliente!$B$27)+Dados_Cliente!$B$7,E95)</f>
        <v>1397.58801631734</v>
      </c>
      <c r="F96" s="2">
        <f>IF($A96&lt;=Dados_Cliente!$B$8*12,F95*(1+Dados_Cliente!$B$28)+Dados_Cliente!$B$7,F95)</f>
        <v>1334.50937803276</v>
      </c>
    </row>
    <row r="97" spans="1:6">
      <c r="A97">
        <f t="shared" si="2"/>
        <v>95</v>
      </c>
      <c r="B97">
        <f t="shared" si="3"/>
        <v>7.91666666666667</v>
      </c>
      <c r="C97" s="2">
        <f>IF($A97&lt;=Dados_Cliente!$B$8*12,C96+Dados_Cliente!$B$7,C96)</f>
        <v>1300</v>
      </c>
      <c r="D97" s="2">
        <f>IF($A97&lt;=Dados_Cliente!$B$8*12,D96*(1+Dados_Cliente!$B$24)+Dados_Cliente!$B$7,D96)</f>
        <v>1366.26290359263</v>
      </c>
      <c r="E97" s="2">
        <f>IF($A97&lt;=Dados_Cliente!$B$8*12,E96*(1+Dados_Cliente!$B$27)+Dados_Cliente!$B$7,E96)</f>
        <v>1397.58801631734</v>
      </c>
      <c r="F97" s="2">
        <f>IF($A97&lt;=Dados_Cliente!$B$8*12,F96*(1+Dados_Cliente!$B$28)+Dados_Cliente!$B$7,F96)</f>
        <v>1334.50937803276</v>
      </c>
    </row>
    <row r="98" spans="1:6">
      <c r="A98">
        <f t="shared" si="2"/>
        <v>96</v>
      </c>
      <c r="B98">
        <f t="shared" si="3"/>
        <v>8</v>
      </c>
      <c r="C98" s="2">
        <f>IF($A98&lt;=Dados_Cliente!$B$8*12,C97+Dados_Cliente!$B$7,C97)</f>
        <v>1300</v>
      </c>
      <c r="D98" s="2">
        <f>IF($A98&lt;=Dados_Cliente!$B$8*12,D97*(1+Dados_Cliente!$B$24)+Dados_Cliente!$B$7,D97)</f>
        <v>1366.26290359263</v>
      </c>
      <c r="E98" s="2">
        <f>IF($A98&lt;=Dados_Cliente!$B$8*12,E97*(1+Dados_Cliente!$B$27)+Dados_Cliente!$B$7,E97)</f>
        <v>1397.58801631734</v>
      </c>
      <c r="F98" s="2">
        <f>IF($A98&lt;=Dados_Cliente!$B$8*12,F97*(1+Dados_Cliente!$B$28)+Dados_Cliente!$B$7,F97)</f>
        <v>1334.50937803276</v>
      </c>
    </row>
    <row r="99" spans="1:6">
      <c r="A99">
        <f t="shared" si="2"/>
        <v>97</v>
      </c>
      <c r="B99">
        <f t="shared" si="3"/>
        <v>8.08333333333333</v>
      </c>
      <c r="C99" s="2">
        <f>IF($A99&lt;=Dados_Cliente!$B$8*12,C98+Dados_Cliente!$B$7,C98)</f>
        <v>1300</v>
      </c>
      <c r="D99" s="2">
        <f>IF($A99&lt;=Dados_Cliente!$B$8*12,D98*(1+Dados_Cliente!$B$24)+Dados_Cliente!$B$7,D98)</f>
        <v>1366.26290359263</v>
      </c>
      <c r="E99" s="2">
        <f>IF($A99&lt;=Dados_Cliente!$B$8*12,E98*(1+Dados_Cliente!$B$27)+Dados_Cliente!$B$7,E98)</f>
        <v>1397.58801631734</v>
      </c>
      <c r="F99" s="2">
        <f>IF($A99&lt;=Dados_Cliente!$B$8*12,F98*(1+Dados_Cliente!$B$28)+Dados_Cliente!$B$7,F98)</f>
        <v>1334.50937803276</v>
      </c>
    </row>
    <row r="100" spans="1:6">
      <c r="A100">
        <f t="shared" si="2"/>
        <v>98</v>
      </c>
      <c r="B100">
        <f t="shared" si="3"/>
        <v>8.16666666666667</v>
      </c>
      <c r="C100" s="2">
        <f>IF($A100&lt;=Dados_Cliente!$B$8*12,C99+Dados_Cliente!$B$7,C99)</f>
        <v>1300</v>
      </c>
      <c r="D100" s="2">
        <f>IF($A100&lt;=Dados_Cliente!$B$8*12,D99*(1+Dados_Cliente!$B$24)+Dados_Cliente!$B$7,D99)</f>
        <v>1366.26290359263</v>
      </c>
      <c r="E100" s="2">
        <f>IF($A100&lt;=Dados_Cliente!$B$8*12,E99*(1+Dados_Cliente!$B$27)+Dados_Cliente!$B$7,E99)</f>
        <v>1397.58801631734</v>
      </c>
      <c r="F100" s="2">
        <f>IF($A100&lt;=Dados_Cliente!$B$8*12,F99*(1+Dados_Cliente!$B$28)+Dados_Cliente!$B$7,F99)</f>
        <v>1334.50937803276</v>
      </c>
    </row>
    <row r="101" spans="1:6">
      <c r="A101">
        <f t="shared" si="2"/>
        <v>99</v>
      </c>
      <c r="B101">
        <f t="shared" si="3"/>
        <v>8.25</v>
      </c>
      <c r="C101" s="2">
        <f>IF($A101&lt;=Dados_Cliente!$B$8*12,C100+Dados_Cliente!$B$7,C100)</f>
        <v>1300</v>
      </c>
      <c r="D101" s="2">
        <f>IF($A101&lt;=Dados_Cliente!$B$8*12,D100*(1+Dados_Cliente!$B$24)+Dados_Cliente!$B$7,D100)</f>
        <v>1366.26290359263</v>
      </c>
      <c r="E101" s="2">
        <f>IF($A101&lt;=Dados_Cliente!$B$8*12,E100*(1+Dados_Cliente!$B$27)+Dados_Cliente!$B$7,E100)</f>
        <v>1397.58801631734</v>
      </c>
      <c r="F101" s="2">
        <f>IF($A101&lt;=Dados_Cliente!$B$8*12,F100*(1+Dados_Cliente!$B$28)+Dados_Cliente!$B$7,F100)</f>
        <v>1334.50937803276</v>
      </c>
    </row>
    <row r="102" spans="1:6">
      <c r="A102">
        <f t="shared" si="2"/>
        <v>100</v>
      </c>
      <c r="B102">
        <f t="shared" si="3"/>
        <v>8.33333333333333</v>
      </c>
      <c r="C102" s="2">
        <f>IF($A102&lt;=Dados_Cliente!$B$8*12,C101+Dados_Cliente!$B$7,C101)</f>
        <v>1300</v>
      </c>
      <c r="D102" s="2">
        <f>IF($A102&lt;=Dados_Cliente!$B$8*12,D101*(1+Dados_Cliente!$B$24)+Dados_Cliente!$B$7,D101)</f>
        <v>1366.26290359263</v>
      </c>
      <c r="E102" s="2">
        <f>IF($A102&lt;=Dados_Cliente!$B$8*12,E101*(1+Dados_Cliente!$B$27)+Dados_Cliente!$B$7,E101)</f>
        <v>1397.58801631734</v>
      </c>
      <c r="F102" s="2">
        <f>IF($A102&lt;=Dados_Cliente!$B$8*12,F101*(1+Dados_Cliente!$B$28)+Dados_Cliente!$B$7,F101)</f>
        <v>1334.50937803276</v>
      </c>
    </row>
    <row r="103" spans="1:6">
      <c r="A103">
        <f t="shared" si="2"/>
        <v>101</v>
      </c>
      <c r="B103">
        <f t="shared" si="3"/>
        <v>8.41666666666667</v>
      </c>
      <c r="C103" s="2">
        <f>IF($A103&lt;=Dados_Cliente!$B$8*12,C102+Dados_Cliente!$B$7,C102)</f>
        <v>1300</v>
      </c>
      <c r="D103" s="2">
        <f>IF($A103&lt;=Dados_Cliente!$B$8*12,D102*(1+Dados_Cliente!$B$24)+Dados_Cliente!$B$7,D102)</f>
        <v>1366.26290359263</v>
      </c>
      <c r="E103" s="2">
        <f>IF($A103&lt;=Dados_Cliente!$B$8*12,E102*(1+Dados_Cliente!$B$27)+Dados_Cliente!$B$7,E102)</f>
        <v>1397.58801631734</v>
      </c>
      <c r="F103" s="2">
        <f>IF($A103&lt;=Dados_Cliente!$B$8*12,F102*(1+Dados_Cliente!$B$28)+Dados_Cliente!$B$7,F102)</f>
        <v>1334.50937803276</v>
      </c>
    </row>
    <row r="104" spans="1:6">
      <c r="A104">
        <f t="shared" si="2"/>
        <v>102</v>
      </c>
      <c r="B104">
        <f t="shared" si="3"/>
        <v>8.5</v>
      </c>
      <c r="C104" s="2">
        <f>IF($A104&lt;=Dados_Cliente!$B$8*12,C103+Dados_Cliente!$B$7,C103)</f>
        <v>1300</v>
      </c>
      <c r="D104" s="2">
        <f>IF($A104&lt;=Dados_Cliente!$B$8*12,D103*(1+Dados_Cliente!$B$24)+Dados_Cliente!$B$7,D103)</f>
        <v>1366.26290359263</v>
      </c>
      <c r="E104" s="2">
        <f>IF($A104&lt;=Dados_Cliente!$B$8*12,E103*(1+Dados_Cliente!$B$27)+Dados_Cliente!$B$7,E103)</f>
        <v>1397.58801631734</v>
      </c>
      <c r="F104" s="2">
        <f>IF($A104&lt;=Dados_Cliente!$B$8*12,F103*(1+Dados_Cliente!$B$28)+Dados_Cliente!$B$7,F103)</f>
        <v>1334.50937803276</v>
      </c>
    </row>
    <row r="105" spans="1:6">
      <c r="A105">
        <f t="shared" si="2"/>
        <v>103</v>
      </c>
      <c r="B105">
        <f t="shared" si="3"/>
        <v>8.58333333333333</v>
      </c>
      <c r="C105" s="2">
        <f>IF($A105&lt;=Dados_Cliente!$B$8*12,C104+Dados_Cliente!$B$7,C104)</f>
        <v>1300</v>
      </c>
      <c r="D105" s="2">
        <f>IF($A105&lt;=Dados_Cliente!$B$8*12,D104*(1+Dados_Cliente!$B$24)+Dados_Cliente!$B$7,D104)</f>
        <v>1366.26290359263</v>
      </c>
      <c r="E105" s="2">
        <f>IF($A105&lt;=Dados_Cliente!$B$8*12,E104*(1+Dados_Cliente!$B$27)+Dados_Cliente!$B$7,E104)</f>
        <v>1397.58801631734</v>
      </c>
      <c r="F105" s="2">
        <f>IF($A105&lt;=Dados_Cliente!$B$8*12,F104*(1+Dados_Cliente!$B$28)+Dados_Cliente!$B$7,F104)</f>
        <v>1334.50937803276</v>
      </c>
    </row>
    <row r="106" spans="1:6">
      <c r="A106">
        <f t="shared" si="2"/>
        <v>104</v>
      </c>
      <c r="B106">
        <f t="shared" si="3"/>
        <v>8.66666666666667</v>
      </c>
      <c r="C106" s="2">
        <f>IF($A106&lt;=Dados_Cliente!$B$8*12,C105+Dados_Cliente!$B$7,C105)</f>
        <v>1300</v>
      </c>
      <c r="D106" s="2">
        <f>IF($A106&lt;=Dados_Cliente!$B$8*12,D105*(1+Dados_Cliente!$B$24)+Dados_Cliente!$B$7,D105)</f>
        <v>1366.26290359263</v>
      </c>
      <c r="E106" s="2">
        <f>IF($A106&lt;=Dados_Cliente!$B$8*12,E105*(1+Dados_Cliente!$B$27)+Dados_Cliente!$B$7,E105)</f>
        <v>1397.58801631734</v>
      </c>
      <c r="F106" s="2">
        <f>IF($A106&lt;=Dados_Cliente!$B$8*12,F105*(1+Dados_Cliente!$B$28)+Dados_Cliente!$B$7,F105)</f>
        <v>1334.50937803276</v>
      </c>
    </row>
    <row r="107" spans="1:6">
      <c r="A107">
        <f t="shared" si="2"/>
        <v>105</v>
      </c>
      <c r="B107">
        <f t="shared" si="3"/>
        <v>8.75</v>
      </c>
      <c r="C107" s="2">
        <f>IF($A107&lt;=Dados_Cliente!$B$8*12,C106+Dados_Cliente!$B$7,C106)</f>
        <v>1300</v>
      </c>
      <c r="D107" s="2">
        <f>IF($A107&lt;=Dados_Cliente!$B$8*12,D106*(1+Dados_Cliente!$B$24)+Dados_Cliente!$B$7,D106)</f>
        <v>1366.26290359263</v>
      </c>
      <c r="E107" s="2">
        <f>IF($A107&lt;=Dados_Cliente!$B$8*12,E106*(1+Dados_Cliente!$B$27)+Dados_Cliente!$B$7,E106)</f>
        <v>1397.58801631734</v>
      </c>
      <c r="F107" s="2">
        <f>IF($A107&lt;=Dados_Cliente!$B$8*12,F106*(1+Dados_Cliente!$B$28)+Dados_Cliente!$B$7,F106)</f>
        <v>1334.50937803276</v>
      </c>
    </row>
    <row r="108" spans="1:6">
      <c r="A108">
        <f t="shared" si="2"/>
        <v>106</v>
      </c>
      <c r="B108">
        <f t="shared" si="3"/>
        <v>8.83333333333333</v>
      </c>
      <c r="C108" s="2">
        <f>IF($A108&lt;=Dados_Cliente!$B$8*12,C107+Dados_Cliente!$B$7,C107)</f>
        <v>1300</v>
      </c>
      <c r="D108" s="2">
        <f>IF($A108&lt;=Dados_Cliente!$B$8*12,D107*(1+Dados_Cliente!$B$24)+Dados_Cliente!$B$7,D107)</f>
        <v>1366.26290359263</v>
      </c>
      <c r="E108" s="2">
        <f>IF($A108&lt;=Dados_Cliente!$B$8*12,E107*(1+Dados_Cliente!$B$27)+Dados_Cliente!$B$7,E107)</f>
        <v>1397.58801631734</v>
      </c>
      <c r="F108" s="2">
        <f>IF($A108&lt;=Dados_Cliente!$B$8*12,F107*(1+Dados_Cliente!$B$28)+Dados_Cliente!$B$7,F107)</f>
        <v>1334.50937803276</v>
      </c>
    </row>
    <row r="109" spans="1:6">
      <c r="A109">
        <f t="shared" si="2"/>
        <v>107</v>
      </c>
      <c r="B109">
        <f t="shared" si="3"/>
        <v>8.91666666666667</v>
      </c>
      <c r="C109" s="2">
        <f>IF($A109&lt;=Dados_Cliente!$B$8*12,C108+Dados_Cliente!$B$7,C108)</f>
        <v>1300</v>
      </c>
      <c r="D109" s="2">
        <f>IF($A109&lt;=Dados_Cliente!$B$8*12,D108*(1+Dados_Cliente!$B$24)+Dados_Cliente!$B$7,D108)</f>
        <v>1366.26290359263</v>
      </c>
      <c r="E109" s="2">
        <f>IF($A109&lt;=Dados_Cliente!$B$8*12,E108*(1+Dados_Cliente!$B$27)+Dados_Cliente!$B$7,E108)</f>
        <v>1397.58801631734</v>
      </c>
      <c r="F109" s="2">
        <f>IF($A109&lt;=Dados_Cliente!$B$8*12,F108*(1+Dados_Cliente!$B$28)+Dados_Cliente!$B$7,F108)</f>
        <v>1334.50937803276</v>
      </c>
    </row>
    <row r="110" spans="1:6">
      <c r="A110">
        <f t="shared" si="2"/>
        <v>108</v>
      </c>
      <c r="B110">
        <f t="shared" si="3"/>
        <v>9</v>
      </c>
      <c r="C110" s="2">
        <f>IF($A110&lt;=Dados_Cliente!$B$8*12,C109+Dados_Cliente!$B$7,C109)</f>
        <v>1300</v>
      </c>
      <c r="D110" s="2">
        <f>IF($A110&lt;=Dados_Cliente!$B$8*12,D109*(1+Dados_Cliente!$B$24)+Dados_Cliente!$B$7,D109)</f>
        <v>1366.26290359263</v>
      </c>
      <c r="E110" s="2">
        <f>IF($A110&lt;=Dados_Cliente!$B$8*12,E109*(1+Dados_Cliente!$B$27)+Dados_Cliente!$B$7,E109)</f>
        <v>1397.58801631734</v>
      </c>
      <c r="F110" s="2">
        <f>IF($A110&lt;=Dados_Cliente!$B$8*12,F109*(1+Dados_Cliente!$B$28)+Dados_Cliente!$B$7,F109)</f>
        <v>1334.50937803276</v>
      </c>
    </row>
    <row r="111" spans="1:6">
      <c r="A111">
        <f t="shared" si="2"/>
        <v>109</v>
      </c>
      <c r="B111">
        <f t="shared" si="3"/>
        <v>9.08333333333333</v>
      </c>
      <c r="C111" s="2">
        <f>IF($A111&lt;=Dados_Cliente!$B$8*12,C110+Dados_Cliente!$B$7,C110)</f>
        <v>1300</v>
      </c>
      <c r="D111" s="2">
        <f>IF($A111&lt;=Dados_Cliente!$B$8*12,D110*(1+Dados_Cliente!$B$24)+Dados_Cliente!$B$7,D110)</f>
        <v>1366.26290359263</v>
      </c>
      <c r="E111" s="2">
        <f>IF($A111&lt;=Dados_Cliente!$B$8*12,E110*(1+Dados_Cliente!$B$27)+Dados_Cliente!$B$7,E110)</f>
        <v>1397.58801631734</v>
      </c>
      <c r="F111" s="2">
        <f>IF($A111&lt;=Dados_Cliente!$B$8*12,F110*(1+Dados_Cliente!$B$28)+Dados_Cliente!$B$7,F110)</f>
        <v>1334.50937803276</v>
      </c>
    </row>
    <row r="112" spans="1:6">
      <c r="A112">
        <f t="shared" si="2"/>
        <v>110</v>
      </c>
      <c r="B112">
        <f t="shared" si="3"/>
        <v>9.16666666666667</v>
      </c>
      <c r="C112" s="2">
        <f>IF($A112&lt;=Dados_Cliente!$B$8*12,C111+Dados_Cliente!$B$7,C111)</f>
        <v>1300</v>
      </c>
      <c r="D112" s="2">
        <f>IF($A112&lt;=Dados_Cliente!$B$8*12,D111*(1+Dados_Cliente!$B$24)+Dados_Cliente!$B$7,D111)</f>
        <v>1366.26290359263</v>
      </c>
      <c r="E112" s="2">
        <f>IF($A112&lt;=Dados_Cliente!$B$8*12,E111*(1+Dados_Cliente!$B$27)+Dados_Cliente!$B$7,E111)</f>
        <v>1397.58801631734</v>
      </c>
      <c r="F112" s="2">
        <f>IF($A112&lt;=Dados_Cliente!$B$8*12,F111*(1+Dados_Cliente!$B$28)+Dados_Cliente!$B$7,F111)</f>
        <v>1334.50937803276</v>
      </c>
    </row>
    <row r="113" spans="1:6">
      <c r="A113">
        <f t="shared" si="2"/>
        <v>111</v>
      </c>
      <c r="B113">
        <f t="shared" si="3"/>
        <v>9.25</v>
      </c>
      <c r="C113" s="2">
        <f>IF($A113&lt;=Dados_Cliente!$B$8*12,C112+Dados_Cliente!$B$7,C112)</f>
        <v>1300</v>
      </c>
      <c r="D113" s="2">
        <f>IF($A113&lt;=Dados_Cliente!$B$8*12,D112*(1+Dados_Cliente!$B$24)+Dados_Cliente!$B$7,D112)</f>
        <v>1366.26290359263</v>
      </c>
      <c r="E113" s="2">
        <f>IF($A113&lt;=Dados_Cliente!$B$8*12,E112*(1+Dados_Cliente!$B$27)+Dados_Cliente!$B$7,E112)</f>
        <v>1397.58801631734</v>
      </c>
      <c r="F113" s="2">
        <f>IF($A113&lt;=Dados_Cliente!$B$8*12,F112*(1+Dados_Cliente!$B$28)+Dados_Cliente!$B$7,F112)</f>
        <v>1334.50937803276</v>
      </c>
    </row>
    <row r="114" spans="1:6">
      <c r="A114">
        <f t="shared" si="2"/>
        <v>112</v>
      </c>
      <c r="B114">
        <f t="shared" si="3"/>
        <v>9.33333333333333</v>
      </c>
      <c r="C114" s="2">
        <f>IF($A114&lt;=Dados_Cliente!$B$8*12,C113+Dados_Cliente!$B$7,C113)</f>
        <v>1300</v>
      </c>
      <c r="D114" s="2">
        <f>IF($A114&lt;=Dados_Cliente!$B$8*12,D113*(1+Dados_Cliente!$B$24)+Dados_Cliente!$B$7,D113)</f>
        <v>1366.26290359263</v>
      </c>
      <c r="E114" s="2">
        <f>IF($A114&lt;=Dados_Cliente!$B$8*12,E113*(1+Dados_Cliente!$B$27)+Dados_Cliente!$B$7,E113)</f>
        <v>1397.58801631734</v>
      </c>
      <c r="F114" s="2">
        <f>IF($A114&lt;=Dados_Cliente!$B$8*12,F113*(1+Dados_Cliente!$B$28)+Dados_Cliente!$B$7,F113)</f>
        <v>1334.50937803276</v>
      </c>
    </row>
    <row r="115" spans="1:6">
      <c r="A115">
        <f t="shared" si="2"/>
        <v>113</v>
      </c>
      <c r="B115">
        <f t="shared" si="3"/>
        <v>9.41666666666667</v>
      </c>
      <c r="C115" s="2">
        <f>IF($A115&lt;=Dados_Cliente!$B$8*12,C114+Dados_Cliente!$B$7,C114)</f>
        <v>1300</v>
      </c>
      <c r="D115" s="2">
        <f>IF($A115&lt;=Dados_Cliente!$B$8*12,D114*(1+Dados_Cliente!$B$24)+Dados_Cliente!$B$7,D114)</f>
        <v>1366.26290359263</v>
      </c>
      <c r="E115" s="2">
        <f>IF($A115&lt;=Dados_Cliente!$B$8*12,E114*(1+Dados_Cliente!$B$27)+Dados_Cliente!$B$7,E114)</f>
        <v>1397.58801631734</v>
      </c>
      <c r="F115" s="2">
        <f>IF($A115&lt;=Dados_Cliente!$B$8*12,F114*(1+Dados_Cliente!$B$28)+Dados_Cliente!$B$7,F114)</f>
        <v>1334.50937803276</v>
      </c>
    </row>
    <row r="116" spans="1:6">
      <c r="A116">
        <f t="shared" si="2"/>
        <v>114</v>
      </c>
      <c r="B116">
        <f t="shared" si="3"/>
        <v>9.5</v>
      </c>
      <c r="C116" s="2">
        <f>IF($A116&lt;=Dados_Cliente!$B$8*12,C115+Dados_Cliente!$B$7,C115)</f>
        <v>1300</v>
      </c>
      <c r="D116" s="2">
        <f>IF($A116&lt;=Dados_Cliente!$B$8*12,D115*(1+Dados_Cliente!$B$24)+Dados_Cliente!$B$7,D115)</f>
        <v>1366.26290359263</v>
      </c>
      <c r="E116" s="2">
        <f>IF($A116&lt;=Dados_Cliente!$B$8*12,E115*(1+Dados_Cliente!$B$27)+Dados_Cliente!$B$7,E115)</f>
        <v>1397.58801631734</v>
      </c>
      <c r="F116" s="2">
        <f>IF($A116&lt;=Dados_Cliente!$B$8*12,F115*(1+Dados_Cliente!$B$28)+Dados_Cliente!$B$7,F115)</f>
        <v>1334.50937803276</v>
      </c>
    </row>
    <row r="117" spans="1:6">
      <c r="A117">
        <f t="shared" si="2"/>
        <v>115</v>
      </c>
      <c r="B117">
        <f t="shared" si="3"/>
        <v>9.58333333333333</v>
      </c>
      <c r="C117" s="2">
        <f>IF($A117&lt;=Dados_Cliente!$B$8*12,C116+Dados_Cliente!$B$7,C116)</f>
        <v>1300</v>
      </c>
      <c r="D117" s="2">
        <f>IF($A117&lt;=Dados_Cliente!$B$8*12,D116*(1+Dados_Cliente!$B$24)+Dados_Cliente!$B$7,D116)</f>
        <v>1366.26290359263</v>
      </c>
      <c r="E117" s="2">
        <f>IF($A117&lt;=Dados_Cliente!$B$8*12,E116*(1+Dados_Cliente!$B$27)+Dados_Cliente!$B$7,E116)</f>
        <v>1397.58801631734</v>
      </c>
      <c r="F117" s="2">
        <f>IF($A117&lt;=Dados_Cliente!$B$8*12,F116*(1+Dados_Cliente!$B$28)+Dados_Cliente!$B$7,F116)</f>
        <v>1334.50937803276</v>
      </c>
    </row>
    <row r="118" spans="1:6">
      <c r="A118">
        <f t="shared" si="2"/>
        <v>116</v>
      </c>
      <c r="B118">
        <f t="shared" si="3"/>
        <v>9.66666666666667</v>
      </c>
      <c r="C118" s="2">
        <f>IF($A118&lt;=Dados_Cliente!$B$8*12,C117+Dados_Cliente!$B$7,C117)</f>
        <v>1300</v>
      </c>
      <c r="D118" s="2">
        <f>IF($A118&lt;=Dados_Cliente!$B$8*12,D117*(1+Dados_Cliente!$B$24)+Dados_Cliente!$B$7,D117)</f>
        <v>1366.26290359263</v>
      </c>
      <c r="E118" s="2">
        <f>IF($A118&lt;=Dados_Cliente!$B$8*12,E117*(1+Dados_Cliente!$B$27)+Dados_Cliente!$B$7,E117)</f>
        <v>1397.58801631734</v>
      </c>
      <c r="F118" s="2">
        <f>IF($A118&lt;=Dados_Cliente!$B$8*12,F117*(1+Dados_Cliente!$B$28)+Dados_Cliente!$B$7,F117)</f>
        <v>1334.50937803276</v>
      </c>
    </row>
    <row r="119" spans="1:6">
      <c r="A119">
        <f t="shared" si="2"/>
        <v>117</v>
      </c>
      <c r="B119">
        <f t="shared" si="3"/>
        <v>9.75</v>
      </c>
      <c r="C119" s="2">
        <f>IF($A119&lt;=Dados_Cliente!$B$8*12,C118+Dados_Cliente!$B$7,C118)</f>
        <v>1300</v>
      </c>
      <c r="D119" s="2">
        <f>IF($A119&lt;=Dados_Cliente!$B$8*12,D118*(1+Dados_Cliente!$B$24)+Dados_Cliente!$B$7,D118)</f>
        <v>1366.26290359263</v>
      </c>
      <c r="E119" s="2">
        <f>IF($A119&lt;=Dados_Cliente!$B$8*12,E118*(1+Dados_Cliente!$B$27)+Dados_Cliente!$B$7,E118)</f>
        <v>1397.58801631734</v>
      </c>
      <c r="F119" s="2">
        <f>IF($A119&lt;=Dados_Cliente!$B$8*12,F118*(1+Dados_Cliente!$B$28)+Dados_Cliente!$B$7,F118)</f>
        <v>1334.50937803276</v>
      </c>
    </row>
    <row r="120" spans="1:6">
      <c r="A120">
        <f t="shared" si="2"/>
        <v>118</v>
      </c>
      <c r="B120">
        <f t="shared" si="3"/>
        <v>9.83333333333333</v>
      </c>
      <c r="C120" s="2">
        <f>IF($A120&lt;=Dados_Cliente!$B$8*12,C119+Dados_Cliente!$B$7,C119)</f>
        <v>1300</v>
      </c>
      <c r="D120" s="2">
        <f>IF($A120&lt;=Dados_Cliente!$B$8*12,D119*(1+Dados_Cliente!$B$24)+Dados_Cliente!$B$7,D119)</f>
        <v>1366.26290359263</v>
      </c>
      <c r="E120" s="2">
        <f>IF($A120&lt;=Dados_Cliente!$B$8*12,E119*(1+Dados_Cliente!$B$27)+Dados_Cliente!$B$7,E119)</f>
        <v>1397.58801631734</v>
      </c>
      <c r="F120" s="2">
        <f>IF($A120&lt;=Dados_Cliente!$B$8*12,F119*(1+Dados_Cliente!$B$28)+Dados_Cliente!$B$7,F119)</f>
        <v>1334.50937803276</v>
      </c>
    </row>
    <row r="121" spans="1:6">
      <c r="A121">
        <f t="shared" si="2"/>
        <v>119</v>
      </c>
      <c r="B121">
        <f t="shared" si="3"/>
        <v>9.91666666666667</v>
      </c>
      <c r="C121" s="2">
        <f>IF($A121&lt;=Dados_Cliente!$B$8*12,C120+Dados_Cliente!$B$7,C120)</f>
        <v>1300</v>
      </c>
      <c r="D121" s="2">
        <f>IF($A121&lt;=Dados_Cliente!$B$8*12,D120*(1+Dados_Cliente!$B$24)+Dados_Cliente!$B$7,D120)</f>
        <v>1366.26290359263</v>
      </c>
      <c r="E121" s="2">
        <f>IF($A121&lt;=Dados_Cliente!$B$8*12,E120*(1+Dados_Cliente!$B$27)+Dados_Cliente!$B$7,E120)</f>
        <v>1397.58801631734</v>
      </c>
      <c r="F121" s="2">
        <f>IF($A121&lt;=Dados_Cliente!$B$8*12,F120*(1+Dados_Cliente!$B$28)+Dados_Cliente!$B$7,F120)</f>
        <v>1334.50937803276</v>
      </c>
    </row>
    <row r="122" spans="1:6">
      <c r="A122">
        <f t="shared" si="2"/>
        <v>120</v>
      </c>
      <c r="B122">
        <f t="shared" si="3"/>
        <v>10</v>
      </c>
      <c r="C122" s="2">
        <f>IF($A122&lt;=Dados_Cliente!$B$8*12,C121+Dados_Cliente!$B$7,C121)</f>
        <v>1300</v>
      </c>
      <c r="D122" s="2">
        <f>IF($A122&lt;=Dados_Cliente!$B$8*12,D121*(1+Dados_Cliente!$B$24)+Dados_Cliente!$B$7,D121)</f>
        <v>1366.26290359263</v>
      </c>
      <c r="E122" s="2">
        <f>IF($A122&lt;=Dados_Cliente!$B$8*12,E121*(1+Dados_Cliente!$B$27)+Dados_Cliente!$B$7,E121)</f>
        <v>1397.58801631734</v>
      </c>
      <c r="F122" s="2">
        <f>IF($A122&lt;=Dados_Cliente!$B$8*12,F121*(1+Dados_Cliente!$B$28)+Dados_Cliente!$B$7,F121)</f>
        <v>1334.50937803276</v>
      </c>
    </row>
    <row r="123" spans="1:6">
      <c r="A123">
        <f t="shared" si="2"/>
        <v>121</v>
      </c>
      <c r="B123">
        <f t="shared" si="3"/>
        <v>10.0833333333333</v>
      </c>
      <c r="C123" s="2">
        <f>IF($A123&lt;=Dados_Cliente!$B$8*12,C122+Dados_Cliente!$B$7,C122)</f>
        <v>1300</v>
      </c>
      <c r="D123" s="2">
        <f>IF($A123&lt;=Dados_Cliente!$B$8*12,D122*(1+Dados_Cliente!$B$24)+Dados_Cliente!$B$7,D122)</f>
        <v>1366.26290359263</v>
      </c>
      <c r="E123" s="2">
        <f>IF($A123&lt;=Dados_Cliente!$B$8*12,E122*(1+Dados_Cliente!$B$27)+Dados_Cliente!$B$7,E122)</f>
        <v>1397.58801631734</v>
      </c>
      <c r="F123" s="2">
        <f>IF($A123&lt;=Dados_Cliente!$B$8*12,F122*(1+Dados_Cliente!$B$28)+Dados_Cliente!$B$7,F122)</f>
        <v>1334.50937803276</v>
      </c>
    </row>
    <row r="124" spans="1:6">
      <c r="A124">
        <f t="shared" si="2"/>
        <v>122</v>
      </c>
      <c r="B124">
        <f t="shared" si="3"/>
        <v>10.1666666666667</v>
      </c>
      <c r="C124" s="2">
        <f>IF($A124&lt;=Dados_Cliente!$B$8*12,C123+Dados_Cliente!$B$7,C123)</f>
        <v>1300</v>
      </c>
      <c r="D124" s="2">
        <f>IF($A124&lt;=Dados_Cliente!$B$8*12,D123*(1+Dados_Cliente!$B$24)+Dados_Cliente!$B$7,D123)</f>
        <v>1366.26290359263</v>
      </c>
      <c r="E124" s="2">
        <f>IF($A124&lt;=Dados_Cliente!$B$8*12,E123*(1+Dados_Cliente!$B$27)+Dados_Cliente!$B$7,E123)</f>
        <v>1397.58801631734</v>
      </c>
      <c r="F124" s="2">
        <f>IF($A124&lt;=Dados_Cliente!$B$8*12,F123*(1+Dados_Cliente!$B$28)+Dados_Cliente!$B$7,F123)</f>
        <v>1334.50937803276</v>
      </c>
    </row>
    <row r="125" spans="1:6">
      <c r="A125">
        <f t="shared" si="2"/>
        <v>123</v>
      </c>
      <c r="B125">
        <f t="shared" si="3"/>
        <v>10.25</v>
      </c>
      <c r="C125" s="2">
        <f>IF($A125&lt;=Dados_Cliente!$B$8*12,C124+Dados_Cliente!$B$7,C124)</f>
        <v>1300</v>
      </c>
      <c r="D125" s="2">
        <f>IF($A125&lt;=Dados_Cliente!$B$8*12,D124*(1+Dados_Cliente!$B$24)+Dados_Cliente!$B$7,D124)</f>
        <v>1366.26290359263</v>
      </c>
      <c r="E125" s="2">
        <f>IF($A125&lt;=Dados_Cliente!$B$8*12,E124*(1+Dados_Cliente!$B$27)+Dados_Cliente!$B$7,E124)</f>
        <v>1397.58801631734</v>
      </c>
      <c r="F125" s="2">
        <f>IF($A125&lt;=Dados_Cliente!$B$8*12,F124*(1+Dados_Cliente!$B$28)+Dados_Cliente!$B$7,F124)</f>
        <v>1334.50937803276</v>
      </c>
    </row>
    <row r="126" spans="1:6">
      <c r="A126">
        <f t="shared" si="2"/>
        <v>124</v>
      </c>
      <c r="B126">
        <f t="shared" si="3"/>
        <v>10.3333333333333</v>
      </c>
      <c r="C126" s="2">
        <f>IF($A126&lt;=Dados_Cliente!$B$8*12,C125+Dados_Cliente!$B$7,C125)</f>
        <v>1300</v>
      </c>
      <c r="D126" s="2">
        <f>IF($A126&lt;=Dados_Cliente!$B$8*12,D125*(1+Dados_Cliente!$B$24)+Dados_Cliente!$B$7,D125)</f>
        <v>1366.26290359263</v>
      </c>
      <c r="E126" s="2">
        <f>IF($A126&lt;=Dados_Cliente!$B$8*12,E125*(1+Dados_Cliente!$B$27)+Dados_Cliente!$B$7,E125)</f>
        <v>1397.58801631734</v>
      </c>
      <c r="F126" s="2">
        <f>IF($A126&lt;=Dados_Cliente!$B$8*12,F125*(1+Dados_Cliente!$B$28)+Dados_Cliente!$B$7,F125)</f>
        <v>1334.50937803276</v>
      </c>
    </row>
    <row r="127" spans="1:6">
      <c r="A127">
        <f t="shared" si="2"/>
        <v>125</v>
      </c>
      <c r="B127">
        <f t="shared" si="3"/>
        <v>10.4166666666667</v>
      </c>
      <c r="C127" s="2">
        <f>IF($A127&lt;=Dados_Cliente!$B$8*12,C126+Dados_Cliente!$B$7,C126)</f>
        <v>1300</v>
      </c>
      <c r="D127" s="2">
        <f>IF($A127&lt;=Dados_Cliente!$B$8*12,D126*(1+Dados_Cliente!$B$24)+Dados_Cliente!$B$7,D126)</f>
        <v>1366.26290359263</v>
      </c>
      <c r="E127" s="2">
        <f>IF($A127&lt;=Dados_Cliente!$B$8*12,E126*(1+Dados_Cliente!$B$27)+Dados_Cliente!$B$7,E126)</f>
        <v>1397.58801631734</v>
      </c>
      <c r="F127" s="2">
        <f>IF($A127&lt;=Dados_Cliente!$B$8*12,F126*(1+Dados_Cliente!$B$28)+Dados_Cliente!$B$7,F126)</f>
        <v>1334.50937803276</v>
      </c>
    </row>
    <row r="128" spans="1:6">
      <c r="A128">
        <f t="shared" si="2"/>
        <v>126</v>
      </c>
      <c r="B128">
        <f t="shared" si="3"/>
        <v>10.5</v>
      </c>
      <c r="C128" s="2">
        <f>IF($A128&lt;=Dados_Cliente!$B$8*12,C127+Dados_Cliente!$B$7,C127)</f>
        <v>1300</v>
      </c>
      <c r="D128" s="2">
        <f>IF($A128&lt;=Dados_Cliente!$B$8*12,D127*(1+Dados_Cliente!$B$24)+Dados_Cliente!$B$7,D127)</f>
        <v>1366.26290359263</v>
      </c>
      <c r="E128" s="2">
        <f>IF($A128&lt;=Dados_Cliente!$B$8*12,E127*(1+Dados_Cliente!$B$27)+Dados_Cliente!$B$7,E127)</f>
        <v>1397.58801631734</v>
      </c>
      <c r="F128" s="2">
        <f>IF($A128&lt;=Dados_Cliente!$B$8*12,F127*(1+Dados_Cliente!$B$28)+Dados_Cliente!$B$7,F127)</f>
        <v>1334.50937803276</v>
      </c>
    </row>
    <row r="129" spans="1:6">
      <c r="A129">
        <f t="shared" si="2"/>
        <v>127</v>
      </c>
      <c r="B129">
        <f t="shared" si="3"/>
        <v>10.5833333333333</v>
      </c>
      <c r="C129" s="2">
        <f>IF($A129&lt;=Dados_Cliente!$B$8*12,C128+Dados_Cliente!$B$7,C128)</f>
        <v>1300</v>
      </c>
      <c r="D129" s="2">
        <f>IF($A129&lt;=Dados_Cliente!$B$8*12,D128*(1+Dados_Cliente!$B$24)+Dados_Cliente!$B$7,D128)</f>
        <v>1366.26290359263</v>
      </c>
      <c r="E129" s="2">
        <f>IF($A129&lt;=Dados_Cliente!$B$8*12,E128*(1+Dados_Cliente!$B$27)+Dados_Cliente!$B$7,E128)</f>
        <v>1397.58801631734</v>
      </c>
      <c r="F129" s="2">
        <f>IF($A129&lt;=Dados_Cliente!$B$8*12,F128*(1+Dados_Cliente!$B$28)+Dados_Cliente!$B$7,F128)</f>
        <v>1334.50937803276</v>
      </c>
    </row>
    <row r="130" spans="1:6">
      <c r="A130">
        <f t="shared" si="2"/>
        <v>128</v>
      </c>
      <c r="B130">
        <f t="shared" si="3"/>
        <v>10.6666666666667</v>
      </c>
      <c r="C130" s="2">
        <f>IF($A130&lt;=Dados_Cliente!$B$8*12,C129+Dados_Cliente!$B$7,C129)</f>
        <v>1300</v>
      </c>
      <c r="D130" s="2">
        <f>IF($A130&lt;=Dados_Cliente!$B$8*12,D129*(1+Dados_Cliente!$B$24)+Dados_Cliente!$B$7,D129)</f>
        <v>1366.26290359263</v>
      </c>
      <c r="E130" s="2">
        <f>IF($A130&lt;=Dados_Cliente!$B$8*12,E129*(1+Dados_Cliente!$B$27)+Dados_Cliente!$B$7,E129)</f>
        <v>1397.58801631734</v>
      </c>
      <c r="F130" s="2">
        <f>IF($A130&lt;=Dados_Cliente!$B$8*12,F129*(1+Dados_Cliente!$B$28)+Dados_Cliente!$B$7,F129)</f>
        <v>1334.50937803276</v>
      </c>
    </row>
    <row r="131" spans="1:6">
      <c r="A131">
        <f t="shared" ref="A131:A194" si="4">A130+1</f>
        <v>129</v>
      </c>
      <c r="B131">
        <f t="shared" ref="B131:B194" si="5">A131/12</f>
        <v>10.75</v>
      </c>
      <c r="C131" s="2">
        <f>IF($A131&lt;=Dados_Cliente!$B$8*12,C130+Dados_Cliente!$B$7,C130)</f>
        <v>1300</v>
      </c>
      <c r="D131" s="2">
        <f>IF($A131&lt;=Dados_Cliente!$B$8*12,D130*(1+Dados_Cliente!$B$24)+Dados_Cliente!$B$7,D130)</f>
        <v>1366.26290359263</v>
      </c>
      <c r="E131" s="2">
        <f>IF($A131&lt;=Dados_Cliente!$B$8*12,E130*(1+Dados_Cliente!$B$27)+Dados_Cliente!$B$7,E130)</f>
        <v>1397.58801631734</v>
      </c>
      <c r="F131" s="2">
        <f>IF($A131&lt;=Dados_Cliente!$B$8*12,F130*(1+Dados_Cliente!$B$28)+Dados_Cliente!$B$7,F130)</f>
        <v>1334.50937803276</v>
      </c>
    </row>
    <row r="132" spans="1:6">
      <c r="A132">
        <f t="shared" si="4"/>
        <v>130</v>
      </c>
      <c r="B132">
        <f t="shared" si="5"/>
        <v>10.8333333333333</v>
      </c>
      <c r="C132" s="2">
        <f>IF($A132&lt;=Dados_Cliente!$B$8*12,C131+Dados_Cliente!$B$7,C131)</f>
        <v>1300</v>
      </c>
      <c r="D132" s="2">
        <f>IF($A132&lt;=Dados_Cliente!$B$8*12,D131*(1+Dados_Cliente!$B$24)+Dados_Cliente!$B$7,D131)</f>
        <v>1366.26290359263</v>
      </c>
      <c r="E132" s="2">
        <f>IF($A132&lt;=Dados_Cliente!$B$8*12,E131*(1+Dados_Cliente!$B$27)+Dados_Cliente!$B$7,E131)</f>
        <v>1397.58801631734</v>
      </c>
      <c r="F132" s="2">
        <f>IF($A132&lt;=Dados_Cliente!$B$8*12,F131*(1+Dados_Cliente!$B$28)+Dados_Cliente!$B$7,F131)</f>
        <v>1334.50937803276</v>
      </c>
    </row>
    <row r="133" spans="1:6">
      <c r="A133">
        <f t="shared" si="4"/>
        <v>131</v>
      </c>
      <c r="B133">
        <f t="shared" si="5"/>
        <v>10.9166666666667</v>
      </c>
      <c r="C133" s="2">
        <f>IF($A133&lt;=Dados_Cliente!$B$8*12,C132+Dados_Cliente!$B$7,C132)</f>
        <v>1300</v>
      </c>
      <c r="D133" s="2">
        <f>IF($A133&lt;=Dados_Cliente!$B$8*12,D132*(1+Dados_Cliente!$B$24)+Dados_Cliente!$B$7,D132)</f>
        <v>1366.26290359263</v>
      </c>
      <c r="E133" s="2">
        <f>IF($A133&lt;=Dados_Cliente!$B$8*12,E132*(1+Dados_Cliente!$B$27)+Dados_Cliente!$B$7,E132)</f>
        <v>1397.58801631734</v>
      </c>
      <c r="F133" s="2">
        <f>IF($A133&lt;=Dados_Cliente!$B$8*12,F132*(1+Dados_Cliente!$B$28)+Dados_Cliente!$B$7,F132)</f>
        <v>1334.50937803276</v>
      </c>
    </row>
    <row r="134" spans="1:6">
      <c r="A134">
        <f t="shared" si="4"/>
        <v>132</v>
      </c>
      <c r="B134">
        <f t="shared" si="5"/>
        <v>11</v>
      </c>
      <c r="C134" s="2">
        <f>IF($A134&lt;=Dados_Cliente!$B$8*12,C133+Dados_Cliente!$B$7,C133)</f>
        <v>1300</v>
      </c>
      <c r="D134" s="2">
        <f>IF($A134&lt;=Dados_Cliente!$B$8*12,D133*(1+Dados_Cliente!$B$24)+Dados_Cliente!$B$7,D133)</f>
        <v>1366.26290359263</v>
      </c>
      <c r="E134" s="2">
        <f>IF($A134&lt;=Dados_Cliente!$B$8*12,E133*(1+Dados_Cliente!$B$27)+Dados_Cliente!$B$7,E133)</f>
        <v>1397.58801631734</v>
      </c>
      <c r="F134" s="2">
        <f>IF($A134&lt;=Dados_Cliente!$B$8*12,F133*(1+Dados_Cliente!$B$28)+Dados_Cliente!$B$7,F133)</f>
        <v>1334.50937803276</v>
      </c>
    </row>
    <row r="135" spans="1:6">
      <c r="A135">
        <f t="shared" si="4"/>
        <v>133</v>
      </c>
      <c r="B135">
        <f t="shared" si="5"/>
        <v>11.0833333333333</v>
      </c>
      <c r="C135" s="2">
        <f>IF($A135&lt;=Dados_Cliente!$B$8*12,C134+Dados_Cliente!$B$7,C134)</f>
        <v>1300</v>
      </c>
      <c r="D135" s="2">
        <f>IF($A135&lt;=Dados_Cliente!$B$8*12,D134*(1+Dados_Cliente!$B$24)+Dados_Cliente!$B$7,D134)</f>
        <v>1366.26290359263</v>
      </c>
      <c r="E135" s="2">
        <f>IF($A135&lt;=Dados_Cliente!$B$8*12,E134*(1+Dados_Cliente!$B$27)+Dados_Cliente!$B$7,E134)</f>
        <v>1397.58801631734</v>
      </c>
      <c r="F135" s="2">
        <f>IF($A135&lt;=Dados_Cliente!$B$8*12,F134*(1+Dados_Cliente!$B$28)+Dados_Cliente!$B$7,F134)</f>
        <v>1334.50937803276</v>
      </c>
    </row>
    <row r="136" spans="1:6">
      <c r="A136">
        <f t="shared" si="4"/>
        <v>134</v>
      </c>
      <c r="B136">
        <f t="shared" si="5"/>
        <v>11.1666666666667</v>
      </c>
      <c r="C136" s="2">
        <f>IF($A136&lt;=Dados_Cliente!$B$8*12,C135+Dados_Cliente!$B$7,C135)</f>
        <v>1300</v>
      </c>
      <c r="D136" s="2">
        <f>IF($A136&lt;=Dados_Cliente!$B$8*12,D135*(1+Dados_Cliente!$B$24)+Dados_Cliente!$B$7,D135)</f>
        <v>1366.26290359263</v>
      </c>
      <c r="E136" s="2">
        <f>IF($A136&lt;=Dados_Cliente!$B$8*12,E135*(1+Dados_Cliente!$B$27)+Dados_Cliente!$B$7,E135)</f>
        <v>1397.58801631734</v>
      </c>
      <c r="F136" s="2">
        <f>IF($A136&lt;=Dados_Cliente!$B$8*12,F135*(1+Dados_Cliente!$B$28)+Dados_Cliente!$B$7,F135)</f>
        <v>1334.50937803276</v>
      </c>
    </row>
    <row r="137" spans="1:6">
      <c r="A137">
        <f t="shared" si="4"/>
        <v>135</v>
      </c>
      <c r="B137">
        <f t="shared" si="5"/>
        <v>11.25</v>
      </c>
      <c r="C137" s="2">
        <f>IF($A137&lt;=Dados_Cliente!$B$8*12,C136+Dados_Cliente!$B$7,C136)</f>
        <v>1300</v>
      </c>
      <c r="D137" s="2">
        <f>IF($A137&lt;=Dados_Cliente!$B$8*12,D136*(1+Dados_Cliente!$B$24)+Dados_Cliente!$B$7,D136)</f>
        <v>1366.26290359263</v>
      </c>
      <c r="E137" s="2">
        <f>IF($A137&lt;=Dados_Cliente!$B$8*12,E136*(1+Dados_Cliente!$B$27)+Dados_Cliente!$B$7,E136)</f>
        <v>1397.58801631734</v>
      </c>
      <c r="F137" s="2">
        <f>IF($A137&lt;=Dados_Cliente!$B$8*12,F136*(1+Dados_Cliente!$B$28)+Dados_Cliente!$B$7,F136)</f>
        <v>1334.50937803276</v>
      </c>
    </row>
    <row r="138" spans="1:6">
      <c r="A138">
        <f t="shared" si="4"/>
        <v>136</v>
      </c>
      <c r="B138">
        <f t="shared" si="5"/>
        <v>11.3333333333333</v>
      </c>
      <c r="C138" s="2">
        <f>IF($A138&lt;=Dados_Cliente!$B$8*12,C137+Dados_Cliente!$B$7,C137)</f>
        <v>1300</v>
      </c>
      <c r="D138" s="2">
        <f>IF($A138&lt;=Dados_Cliente!$B$8*12,D137*(1+Dados_Cliente!$B$24)+Dados_Cliente!$B$7,D137)</f>
        <v>1366.26290359263</v>
      </c>
      <c r="E138" s="2">
        <f>IF($A138&lt;=Dados_Cliente!$B$8*12,E137*(1+Dados_Cliente!$B$27)+Dados_Cliente!$B$7,E137)</f>
        <v>1397.58801631734</v>
      </c>
      <c r="F138" s="2">
        <f>IF($A138&lt;=Dados_Cliente!$B$8*12,F137*(1+Dados_Cliente!$B$28)+Dados_Cliente!$B$7,F137)</f>
        <v>1334.50937803276</v>
      </c>
    </row>
    <row r="139" spans="1:6">
      <c r="A139">
        <f t="shared" si="4"/>
        <v>137</v>
      </c>
      <c r="B139">
        <f t="shared" si="5"/>
        <v>11.4166666666667</v>
      </c>
      <c r="C139" s="2">
        <f>IF($A139&lt;=Dados_Cliente!$B$8*12,C138+Dados_Cliente!$B$7,C138)</f>
        <v>1300</v>
      </c>
      <c r="D139" s="2">
        <f>IF($A139&lt;=Dados_Cliente!$B$8*12,D138*(1+Dados_Cliente!$B$24)+Dados_Cliente!$B$7,D138)</f>
        <v>1366.26290359263</v>
      </c>
      <c r="E139" s="2">
        <f>IF($A139&lt;=Dados_Cliente!$B$8*12,E138*(1+Dados_Cliente!$B$27)+Dados_Cliente!$B$7,E138)</f>
        <v>1397.58801631734</v>
      </c>
      <c r="F139" s="2">
        <f>IF($A139&lt;=Dados_Cliente!$B$8*12,F138*(1+Dados_Cliente!$B$28)+Dados_Cliente!$B$7,F138)</f>
        <v>1334.50937803276</v>
      </c>
    </row>
    <row r="140" spans="1:6">
      <c r="A140">
        <f t="shared" si="4"/>
        <v>138</v>
      </c>
      <c r="B140">
        <f t="shared" si="5"/>
        <v>11.5</v>
      </c>
      <c r="C140" s="2">
        <f>IF($A140&lt;=Dados_Cliente!$B$8*12,C139+Dados_Cliente!$B$7,C139)</f>
        <v>1300</v>
      </c>
      <c r="D140" s="2">
        <f>IF($A140&lt;=Dados_Cliente!$B$8*12,D139*(1+Dados_Cliente!$B$24)+Dados_Cliente!$B$7,D139)</f>
        <v>1366.26290359263</v>
      </c>
      <c r="E140" s="2">
        <f>IF($A140&lt;=Dados_Cliente!$B$8*12,E139*(1+Dados_Cliente!$B$27)+Dados_Cliente!$B$7,E139)</f>
        <v>1397.58801631734</v>
      </c>
      <c r="F140" s="2">
        <f>IF($A140&lt;=Dados_Cliente!$B$8*12,F139*(1+Dados_Cliente!$B$28)+Dados_Cliente!$B$7,F139)</f>
        <v>1334.50937803276</v>
      </c>
    </row>
    <row r="141" spans="1:6">
      <c r="A141">
        <f t="shared" si="4"/>
        <v>139</v>
      </c>
      <c r="B141">
        <f t="shared" si="5"/>
        <v>11.5833333333333</v>
      </c>
      <c r="C141" s="2">
        <f>IF($A141&lt;=Dados_Cliente!$B$8*12,C140+Dados_Cliente!$B$7,C140)</f>
        <v>1300</v>
      </c>
      <c r="D141" s="2">
        <f>IF($A141&lt;=Dados_Cliente!$B$8*12,D140*(1+Dados_Cliente!$B$24)+Dados_Cliente!$B$7,D140)</f>
        <v>1366.26290359263</v>
      </c>
      <c r="E141" s="2">
        <f>IF($A141&lt;=Dados_Cliente!$B$8*12,E140*(1+Dados_Cliente!$B$27)+Dados_Cliente!$B$7,E140)</f>
        <v>1397.58801631734</v>
      </c>
      <c r="F141" s="2">
        <f>IF($A141&lt;=Dados_Cliente!$B$8*12,F140*(1+Dados_Cliente!$B$28)+Dados_Cliente!$B$7,F140)</f>
        <v>1334.50937803276</v>
      </c>
    </row>
    <row r="142" spans="1:6">
      <c r="A142">
        <f t="shared" si="4"/>
        <v>140</v>
      </c>
      <c r="B142">
        <f t="shared" si="5"/>
        <v>11.6666666666667</v>
      </c>
      <c r="C142" s="2">
        <f>IF($A142&lt;=Dados_Cliente!$B$8*12,C141+Dados_Cliente!$B$7,C141)</f>
        <v>1300</v>
      </c>
      <c r="D142" s="2">
        <f>IF($A142&lt;=Dados_Cliente!$B$8*12,D141*(1+Dados_Cliente!$B$24)+Dados_Cliente!$B$7,D141)</f>
        <v>1366.26290359263</v>
      </c>
      <c r="E142" s="2">
        <f>IF($A142&lt;=Dados_Cliente!$B$8*12,E141*(1+Dados_Cliente!$B$27)+Dados_Cliente!$B$7,E141)</f>
        <v>1397.58801631734</v>
      </c>
      <c r="F142" s="2">
        <f>IF($A142&lt;=Dados_Cliente!$B$8*12,F141*(1+Dados_Cliente!$B$28)+Dados_Cliente!$B$7,F141)</f>
        <v>1334.50937803276</v>
      </c>
    </row>
    <row r="143" spans="1:6">
      <c r="A143">
        <f t="shared" si="4"/>
        <v>141</v>
      </c>
      <c r="B143">
        <f t="shared" si="5"/>
        <v>11.75</v>
      </c>
      <c r="C143" s="2">
        <f>IF($A143&lt;=Dados_Cliente!$B$8*12,C142+Dados_Cliente!$B$7,C142)</f>
        <v>1300</v>
      </c>
      <c r="D143" s="2">
        <f>IF($A143&lt;=Dados_Cliente!$B$8*12,D142*(1+Dados_Cliente!$B$24)+Dados_Cliente!$B$7,D142)</f>
        <v>1366.26290359263</v>
      </c>
      <c r="E143" s="2">
        <f>IF($A143&lt;=Dados_Cliente!$B$8*12,E142*(1+Dados_Cliente!$B$27)+Dados_Cliente!$B$7,E142)</f>
        <v>1397.58801631734</v>
      </c>
      <c r="F143" s="2">
        <f>IF($A143&lt;=Dados_Cliente!$B$8*12,F142*(1+Dados_Cliente!$B$28)+Dados_Cliente!$B$7,F142)</f>
        <v>1334.50937803276</v>
      </c>
    </row>
    <row r="144" spans="1:6">
      <c r="A144">
        <f t="shared" si="4"/>
        <v>142</v>
      </c>
      <c r="B144">
        <f t="shared" si="5"/>
        <v>11.8333333333333</v>
      </c>
      <c r="C144" s="2">
        <f>IF($A144&lt;=Dados_Cliente!$B$8*12,C143+Dados_Cliente!$B$7,C143)</f>
        <v>1300</v>
      </c>
      <c r="D144" s="2">
        <f>IF($A144&lt;=Dados_Cliente!$B$8*12,D143*(1+Dados_Cliente!$B$24)+Dados_Cliente!$B$7,D143)</f>
        <v>1366.26290359263</v>
      </c>
      <c r="E144" s="2">
        <f>IF($A144&lt;=Dados_Cliente!$B$8*12,E143*(1+Dados_Cliente!$B$27)+Dados_Cliente!$B$7,E143)</f>
        <v>1397.58801631734</v>
      </c>
      <c r="F144" s="2">
        <f>IF($A144&lt;=Dados_Cliente!$B$8*12,F143*(1+Dados_Cliente!$B$28)+Dados_Cliente!$B$7,F143)</f>
        <v>1334.50937803276</v>
      </c>
    </row>
    <row r="145" spans="1:6">
      <c r="A145">
        <f t="shared" si="4"/>
        <v>143</v>
      </c>
      <c r="B145">
        <f t="shared" si="5"/>
        <v>11.9166666666667</v>
      </c>
      <c r="C145" s="2">
        <f>IF($A145&lt;=Dados_Cliente!$B$8*12,C144+Dados_Cliente!$B$7,C144)</f>
        <v>1300</v>
      </c>
      <c r="D145" s="2">
        <f>IF($A145&lt;=Dados_Cliente!$B$8*12,D144*(1+Dados_Cliente!$B$24)+Dados_Cliente!$B$7,D144)</f>
        <v>1366.26290359263</v>
      </c>
      <c r="E145" s="2">
        <f>IF($A145&lt;=Dados_Cliente!$B$8*12,E144*(1+Dados_Cliente!$B$27)+Dados_Cliente!$B$7,E144)</f>
        <v>1397.58801631734</v>
      </c>
      <c r="F145" s="2">
        <f>IF($A145&lt;=Dados_Cliente!$B$8*12,F144*(1+Dados_Cliente!$B$28)+Dados_Cliente!$B$7,F144)</f>
        <v>1334.50937803276</v>
      </c>
    </row>
    <row r="146" spans="1:6">
      <c r="A146">
        <f t="shared" si="4"/>
        <v>144</v>
      </c>
      <c r="B146">
        <f t="shared" si="5"/>
        <v>12</v>
      </c>
      <c r="C146" s="2">
        <f>IF($A146&lt;=Dados_Cliente!$B$8*12,C145+Dados_Cliente!$B$7,C145)</f>
        <v>1300</v>
      </c>
      <c r="D146" s="2">
        <f>IF($A146&lt;=Dados_Cliente!$B$8*12,D145*(1+Dados_Cliente!$B$24)+Dados_Cliente!$B$7,D145)</f>
        <v>1366.26290359263</v>
      </c>
      <c r="E146" s="2">
        <f>IF($A146&lt;=Dados_Cliente!$B$8*12,E145*(1+Dados_Cliente!$B$27)+Dados_Cliente!$B$7,E145)</f>
        <v>1397.58801631734</v>
      </c>
      <c r="F146" s="2">
        <f>IF($A146&lt;=Dados_Cliente!$B$8*12,F145*(1+Dados_Cliente!$B$28)+Dados_Cliente!$B$7,F145)</f>
        <v>1334.50937803276</v>
      </c>
    </row>
    <row r="147" spans="1:6">
      <c r="A147">
        <f t="shared" si="4"/>
        <v>145</v>
      </c>
      <c r="B147">
        <f t="shared" si="5"/>
        <v>12.0833333333333</v>
      </c>
      <c r="C147" s="2">
        <f>IF($A147&lt;=Dados_Cliente!$B$8*12,C146+Dados_Cliente!$B$7,C146)</f>
        <v>1300</v>
      </c>
      <c r="D147" s="2">
        <f>IF($A147&lt;=Dados_Cliente!$B$8*12,D146*(1+Dados_Cliente!$B$24)+Dados_Cliente!$B$7,D146)</f>
        <v>1366.26290359263</v>
      </c>
      <c r="E147" s="2">
        <f>IF($A147&lt;=Dados_Cliente!$B$8*12,E146*(1+Dados_Cliente!$B$27)+Dados_Cliente!$B$7,E146)</f>
        <v>1397.58801631734</v>
      </c>
      <c r="F147" s="2">
        <f>IF($A147&lt;=Dados_Cliente!$B$8*12,F146*(1+Dados_Cliente!$B$28)+Dados_Cliente!$B$7,F146)</f>
        <v>1334.50937803276</v>
      </c>
    </row>
    <row r="148" spans="1:6">
      <c r="A148">
        <f t="shared" si="4"/>
        <v>146</v>
      </c>
      <c r="B148">
        <f t="shared" si="5"/>
        <v>12.1666666666667</v>
      </c>
      <c r="C148" s="2">
        <f>IF($A148&lt;=Dados_Cliente!$B$8*12,C147+Dados_Cliente!$B$7,C147)</f>
        <v>1300</v>
      </c>
      <c r="D148" s="2">
        <f>IF($A148&lt;=Dados_Cliente!$B$8*12,D147*(1+Dados_Cliente!$B$24)+Dados_Cliente!$B$7,D147)</f>
        <v>1366.26290359263</v>
      </c>
      <c r="E148" s="2">
        <f>IF($A148&lt;=Dados_Cliente!$B$8*12,E147*(1+Dados_Cliente!$B$27)+Dados_Cliente!$B$7,E147)</f>
        <v>1397.58801631734</v>
      </c>
      <c r="F148" s="2">
        <f>IF($A148&lt;=Dados_Cliente!$B$8*12,F147*(1+Dados_Cliente!$B$28)+Dados_Cliente!$B$7,F147)</f>
        <v>1334.50937803276</v>
      </c>
    </row>
    <row r="149" spans="1:6">
      <c r="A149">
        <f t="shared" si="4"/>
        <v>147</v>
      </c>
      <c r="B149">
        <f t="shared" si="5"/>
        <v>12.25</v>
      </c>
      <c r="C149" s="2">
        <f>IF($A149&lt;=Dados_Cliente!$B$8*12,C148+Dados_Cliente!$B$7,C148)</f>
        <v>1300</v>
      </c>
      <c r="D149" s="2">
        <f>IF($A149&lt;=Dados_Cliente!$B$8*12,D148*(1+Dados_Cliente!$B$24)+Dados_Cliente!$B$7,D148)</f>
        <v>1366.26290359263</v>
      </c>
      <c r="E149" s="2">
        <f>IF($A149&lt;=Dados_Cliente!$B$8*12,E148*(1+Dados_Cliente!$B$27)+Dados_Cliente!$B$7,E148)</f>
        <v>1397.58801631734</v>
      </c>
      <c r="F149" s="2">
        <f>IF($A149&lt;=Dados_Cliente!$B$8*12,F148*(1+Dados_Cliente!$B$28)+Dados_Cliente!$B$7,F148)</f>
        <v>1334.50937803276</v>
      </c>
    </row>
    <row r="150" spans="1:6">
      <c r="A150">
        <f t="shared" si="4"/>
        <v>148</v>
      </c>
      <c r="B150">
        <f t="shared" si="5"/>
        <v>12.3333333333333</v>
      </c>
      <c r="C150" s="2">
        <f>IF($A150&lt;=Dados_Cliente!$B$8*12,C149+Dados_Cliente!$B$7,C149)</f>
        <v>1300</v>
      </c>
      <c r="D150" s="2">
        <f>IF($A150&lt;=Dados_Cliente!$B$8*12,D149*(1+Dados_Cliente!$B$24)+Dados_Cliente!$B$7,D149)</f>
        <v>1366.26290359263</v>
      </c>
      <c r="E150" s="2">
        <f>IF($A150&lt;=Dados_Cliente!$B$8*12,E149*(1+Dados_Cliente!$B$27)+Dados_Cliente!$B$7,E149)</f>
        <v>1397.58801631734</v>
      </c>
      <c r="F150" s="2">
        <f>IF($A150&lt;=Dados_Cliente!$B$8*12,F149*(1+Dados_Cliente!$B$28)+Dados_Cliente!$B$7,F149)</f>
        <v>1334.50937803276</v>
      </c>
    </row>
    <row r="151" spans="1:6">
      <c r="A151">
        <f t="shared" si="4"/>
        <v>149</v>
      </c>
      <c r="B151">
        <f t="shared" si="5"/>
        <v>12.4166666666667</v>
      </c>
      <c r="C151" s="2">
        <f>IF($A151&lt;=Dados_Cliente!$B$8*12,C150+Dados_Cliente!$B$7,C150)</f>
        <v>1300</v>
      </c>
      <c r="D151" s="2">
        <f>IF($A151&lt;=Dados_Cliente!$B$8*12,D150*(1+Dados_Cliente!$B$24)+Dados_Cliente!$B$7,D150)</f>
        <v>1366.26290359263</v>
      </c>
      <c r="E151" s="2">
        <f>IF($A151&lt;=Dados_Cliente!$B$8*12,E150*(1+Dados_Cliente!$B$27)+Dados_Cliente!$B$7,E150)</f>
        <v>1397.58801631734</v>
      </c>
      <c r="F151" s="2">
        <f>IF($A151&lt;=Dados_Cliente!$B$8*12,F150*(1+Dados_Cliente!$B$28)+Dados_Cliente!$B$7,F150)</f>
        <v>1334.50937803276</v>
      </c>
    </row>
    <row r="152" spans="1:6">
      <c r="A152">
        <f t="shared" si="4"/>
        <v>150</v>
      </c>
      <c r="B152">
        <f t="shared" si="5"/>
        <v>12.5</v>
      </c>
      <c r="C152" s="2">
        <f>IF($A152&lt;=Dados_Cliente!$B$8*12,C151+Dados_Cliente!$B$7,C151)</f>
        <v>1300</v>
      </c>
      <c r="D152" s="2">
        <f>IF($A152&lt;=Dados_Cliente!$B$8*12,D151*(1+Dados_Cliente!$B$24)+Dados_Cliente!$B$7,D151)</f>
        <v>1366.26290359263</v>
      </c>
      <c r="E152" s="2">
        <f>IF($A152&lt;=Dados_Cliente!$B$8*12,E151*(1+Dados_Cliente!$B$27)+Dados_Cliente!$B$7,E151)</f>
        <v>1397.58801631734</v>
      </c>
      <c r="F152" s="2">
        <f>IF($A152&lt;=Dados_Cliente!$B$8*12,F151*(1+Dados_Cliente!$B$28)+Dados_Cliente!$B$7,F151)</f>
        <v>1334.50937803276</v>
      </c>
    </row>
    <row r="153" spans="1:6">
      <c r="A153">
        <f t="shared" si="4"/>
        <v>151</v>
      </c>
      <c r="B153">
        <f t="shared" si="5"/>
        <v>12.5833333333333</v>
      </c>
      <c r="C153" s="2">
        <f>IF($A153&lt;=Dados_Cliente!$B$8*12,C152+Dados_Cliente!$B$7,C152)</f>
        <v>1300</v>
      </c>
      <c r="D153" s="2">
        <f>IF($A153&lt;=Dados_Cliente!$B$8*12,D152*(1+Dados_Cliente!$B$24)+Dados_Cliente!$B$7,D152)</f>
        <v>1366.26290359263</v>
      </c>
      <c r="E153" s="2">
        <f>IF($A153&lt;=Dados_Cliente!$B$8*12,E152*(1+Dados_Cliente!$B$27)+Dados_Cliente!$B$7,E152)</f>
        <v>1397.58801631734</v>
      </c>
      <c r="F153" s="2">
        <f>IF($A153&lt;=Dados_Cliente!$B$8*12,F152*(1+Dados_Cliente!$B$28)+Dados_Cliente!$B$7,F152)</f>
        <v>1334.50937803276</v>
      </c>
    </row>
    <row r="154" spans="1:6">
      <c r="A154">
        <f t="shared" si="4"/>
        <v>152</v>
      </c>
      <c r="B154">
        <f t="shared" si="5"/>
        <v>12.6666666666667</v>
      </c>
      <c r="C154" s="2">
        <f>IF($A154&lt;=Dados_Cliente!$B$8*12,C153+Dados_Cliente!$B$7,C153)</f>
        <v>1300</v>
      </c>
      <c r="D154" s="2">
        <f>IF($A154&lt;=Dados_Cliente!$B$8*12,D153*(1+Dados_Cliente!$B$24)+Dados_Cliente!$B$7,D153)</f>
        <v>1366.26290359263</v>
      </c>
      <c r="E154" s="2">
        <f>IF($A154&lt;=Dados_Cliente!$B$8*12,E153*(1+Dados_Cliente!$B$27)+Dados_Cliente!$B$7,E153)</f>
        <v>1397.58801631734</v>
      </c>
      <c r="F154" s="2">
        <f>IF($A154&lt;=Dados_Cliente!$B$8*12,F153*(1+Dados_Cliente!$B$28)+Dados_Cliente!$B$7,F153)</f>
        <v>1334.50937803276</v>
      </c>
    </row>
    <row r="155" spans="1:6">
      <c r="A155">
        <f t="shared" si="4"/>
        <v>153</v>
      </c>
      <c r="B155">
        <f t="shared" si="5"/>
        <v>12.75</v>
      </c>
      <c r="C155" s="2">
        <f>IF($A155&lt;=Dados_Cliente!$B$8*12,C154+Dados_Cliente!$B$7,C154)</f>
        <v>1300</v>
      </c>
      <c r="D155" s="2">
        <f>IF($A155&lt;=Dados_Cliente!$B$8*12,D154*(1+Dados_Cliente!$B$24)+Dados_Cliente!$B$7,D154)</f>
        <v>1366.26290359263</v>
      </c>
      <c r="E155" s="2">
        <f>IF($A155&lt;=Dados_Cliente!$B$8*12,E154*(1+Dados_Cliente!$B$27)+Dados_Cliente!$B$7,E154)</f>
        <v>1397.58801631734</v>
      </c>
      <c r="F155" s="2">
        <f>IF($A155&lt;=Dados_Cliente!$B$8*12,F154*(1+Dados_Cliente!$B$28)+Dados_Cliente!$B$7,F154)</f>
        <v>1334.50937803276</v>
      </c>
    </row>
    <row r="156" spans="1:6">
      <c r="A156">
        <f t="shared" si="4"/>
        <v>154</v>
      </c>
      <c r="B156">
        <f t="shared" si="5"/>
        <v>12.8333333333333</v>
      </c>
      <c r="C156" s="2">
        <f>IF($A156&lt;=Dados_Cliente!$B$8*12,C155+Dados_Cliente!$B$7,C155)</f>
        <v>1300</v>
      </c>
      <c r="D156" s="2">
        <f>IF($A156&lt;=Dados_Cliente!$B$8*12,D155*(1+Dados_Cliente!$B$24)+Dados_Cliente!$B$7,D155)</f>
        <v>1366.26290359263</v>
      </c>
      <c r="E156" s="2">
        <f>IF($A156&lt;=Dados_Cliente!$B$8*12,E155*(1+Dados_Cliente!$B$27)+Dados_Cliente!$B$7,E155)</f>
        <v>1397.58801631734</v>
      </c>
      <c r="F156" s="2">
        <f>IF($A156&lt;=Dados_Cliente!$B$8*12,F155*(1+Dados_Cliente!$B$28)+Dados_Cliente!$B$7,F155)</f>
        <v>1334.50937803276</v>
      </c>
    </row>
    <row r="157" spans="1:6">
      <c r="A157">
        <f t="shared" si="4"/>
        <v>155</v>
      </c>
      <c r="B157">
        <f t="shared" si="5"/>
        <v>12.9166666666667</v>
      </c>
      <c r="C157" s="2">
        <f>IF($A157&lt;=Dados_Cliente!$B$8*12,C156+Dados_Cliente!$B$7,C156)</f>
        <v>1300</v>
      </c>
      <c r="D157" s="2">
        <f>IF($A157&lt;=Dados_Cliente!$B$8*12,D156*(1+Dados_Cliente!$B$24)+Dados_Cliente!$B$7,D156)</f>
        <v>1366.26290359263</v>
      </c>
      <c r="E157" s="2">
        <f>IF($A157&lt;=Dados_Cliente!$B$8*12,E156*(1+Dados_Cliente!$B$27)+Dados_Cliente!$B$7,E156)</f>
        <v>1397.58801631734</v>
      </c>
      <c r="F157" s="2">
        <f>IF($A157&lt;=Dados_Cliente!$B$8*12,F156*(1+Dados_Cliente!$B$28)+Dados_Cliente!$B$7,F156)</f>
        <v>1334.50937803276</v>
      </c>
    </row>
    <row r="158" spans="1:6">
      <c r="A158">
        <f t="shared" si="4"/>
        <v>156</v>
      </c>
      <c r="B158">
        <f t="shared" si="5"/>
        <v>13</v>
      </c>
      <c r="C158" s="2">
        <f>IF($A158&lt;=Dados_Cliente!$B$8*12,C157+Dados_Cliente!$B$7,C157)</f>
        <v>1300</v>
      </c>
      <c r="D158" s="2">
        <f>IF($A158&lt;=Dados_Cliente!$B$8*12,D157*(1+Dados_Cliente!$B$24)+Dados_Cliente!$B$7,D157)</f>
        <v>1366.26290359263</v>
      </c>
      <c r="E158" s="2">
        <f>IF($A158&lt;=Dados_Cliente!$B$8*12,E157*(1+Dados_Cliente!$B$27)+Dados_Cliente!$B$7,E157)</f>
        <v>1397.58801631734</v>
      </c>
      <c r="F158" s="2">
        <f>IF($A158&lt;=Dados_Cliente!$B$8*12,F157*(1+Dados_Cliente!$B$28)+Dados_Cliente!$B$7,F157)</f>
        <v>1334.50937803276</v>
      </c>
    </row>
    <row r="159" spans="1:6">
      <c r="A159">
        <f t="shared" si="4"/>
        <v>157</v>
      </c>
      <c r="B159">
        <f t="shared" si="5"/>
        <v>13.0833333333333</v>
      </c>
      <c r="C159" s="2">
        <f>IF($A159&lt;=Dados_Cliente!$B$8*12,C158+Dados_Cliente!$B$7,C158)</f>
        <v>1300</v>
      </c>
      <c r="D159" s="2">
        <f>IF($A159&lt;=Dados_Cliente!$B$8*12,D158*(1+Dados_Cliente!$B$24)+Dados_Cliente!$B$7,D158)</f>
        <v>1366.26290359263</v>
      </c>
      <c r="E159" s="2">
        <f>IF($A159&lt;=Dados_Cliente!$B$8*12,E158*(1+Dados_Cliente!$B$27)+Dados_Cliente!$B$7,E158)</f>
        <v>1397.58801631734</v>
      </c>
      <c r="F159" s="2">
        <f>IF($A159&lt;=Dados_Cliente!$B$8*12,F158*(1+Dados_Cliente!$B$28)+Dados_Cliente!$B$7,F158)</f>
        <v>1334.50937803276</v>
      </c>
    </row>
    <row r="160" spans="1:6">
      <c r="A160">
        <f t="shared" si="4"/>
        <v>158</v>
      </c>
      <c r="B160">
        <f t="shared" si="5"/>
        <v>13.1666666666667</v>
      </c>
      <c r="C160" s="2">
        <f>IF($A160&lt;=Dados_Cliente!$B$8*12,C159+Dados_Cliente!$B$7,C159)</f>
        <v>1300</v>
      </c>
      <c r="D160" s="2">
        <f>IF($A160&lt;=Dados_Cliente!$B$8*12,D159*(1+Dados_Cliente!$B$24)+Dados_Cliente!$B$7,D159)</f>
        <v>1366.26290359263</v>
      </c>
      <c r="E160" s="2">
        <f>IF($A160&lt;=Dados_Cliente!$B$8*12,E159*(1+Dados_Cliente!$B$27)+Dados_Cliente!$B$7,E159)</f>
        <v>1397.58801631734</v>
      </c>
      <c r="F160" s="2">
        <f>IF($A160&lt;=Dados_Cliente!$B$8*12,F159*(1+Dados_Cliente!$B$28)+Dados_Cliente!$B$7,F159)</f>
        <v>1334.50937803276</v>
      </c>
    </row>
    <row r="161" spans="1:6">
      <c r="A161">
        <f t="shared" si="4"/>
        <v>159</v>
      </c>
      <c r="B161">
        <f t="shared" si="5"/>
        <v>13.25</v>
      </c>
      <c r="C161" s="2">
        <f>IF($A161&lt;=Dados_Cliente!$B$8*12,C160+Dados_Cliente!$B$7,C160)</f>
        <v>1300</v>
      </c>
      <c r="D161" s="2">
        <f>IF($A161&lt;=Dados_Cliente!$B$8*12,D160*(1+Dados_Cliente!$B$24)+Dados_Cliente!$B$7,D160)</f>
        <v>1366.26290359263</v>
      </c>
      <c r="E161" s="2">
        <f>IF($A161&lt;=Dados_Cliente!$B$8*12,E160*(1+Dados_Cliente!$B$27)+Dados_Cliente!$B$7,E160)</f>
        <v>1397.58801631734</v>
      </c>
      <c r="F161" s="2">
        <f>IF($A161&lt;=Dados_Cliente!$B$8*12,F160*(1+Dados_Cliente!$B$28)+Dados_Cliente!$B$7,F160)</f>
        <v>1334.50937803276</v>
      </c>
    </row>
    <row r="162" spans="1:6">
      <c r="A162">
        <f t="shared" si="4"/>
        <v>160</v>
      </c>
      <c r="B162">
        <f t="shared" si="5"/>
        <v>13.3333333333333</v>
      </c>
      <c r="C162" s="2">
        <f>IF($A162&lt;=Dados_Cliente!$B$8*12,C161+Dados_Cliente!$B$7,C161)</f>
        <v>1300</v>
      </c>
      <c r="D162" s="2">
        <f>IF($A162&lt;=Dados_Cliente!$B$8*12,D161*(1+Dados_Cliente!$B$24)+Dados_Cliente!$B$7,D161)</f>
        <v>1366.26290359263</v>
      </c>
      <c r="E162" s="2">
        <f>IF($A162&lt;=Dados_Cliente!$B$8*12,E161*(1+Dados_Cliente!$B$27)+Dados_Cliente!$B$7,E161)</f>
        <v>1397.58801631734</v>
      </c>
      <c r="F162" s="2">
        <f>IF($A162&lt;=Dados_Cliente!$B$8*12,F161*(1+Dados_Cliente!$B$28)+Dados_Cliente!$B$7,F161)</f>
        <v>1334.50937803276</v>
      </c>
    </row>
    <row r="163" spans="1:6">
      <c r="A163">
        <f t="shared" si="4"/>
        <v>161</v>
      </c>
      <c r="B163">
        <f t="shared" si="5"/>
        <v>13.4166666666667</v>
      </c>
      <c r="C163" s="2">
        <f>IF($A163&lt;=Dados_Cliente!$B$8*12,C162+Dados_Cliente!$B$7,C162)</f>
        <v>1300</v>
      </c>
      <c r="D163" s="2">
        <f>IF($A163&lt;=Dados_Cliente!$B$8*12,D162*(1+Dados_Cliente!$B$24)+Dados_Cliente!$B$7,D162)</f>
        <v>1366.26290359263</v>
      </c>
      <c r="E163" s="2">
        <f>IF($A163&lt;=Dados_Cliente!$B$8*12,E162*(1+Dados_Cliente!$B$27)+Dados_Cliente!$B$7,E162)</f>
        <v>1397.58801631734</v>
      </c>
      <c r="F163" s="2">
        <f>IF($A163&lt;=Dados_Cliente!$B$8*12,F162*(1+Dados_Cliente!$B$28)+Dados_Cliente!$B$7,F162)</f>
        <v>1334.50937803276</v>
      </c>
    </row>
    <row r="164" spans="1:6">
      <c r="A164">
        <f t="shared" si="4"/>
        <v>162</v>
      </c>
      <c r="B164">
        <f t="shared" si="5"/>
        <v>13.5</v>
      </c>
      <c r="C164" s="2">
        <f>IF($A164&lt;=Dados_Cliente!$B$8*12,C163+Dados_Cliente!$B$7,C163)</f>
        <v>1300</v>
      </c>
      <c r="D164" s="2">
        <f>IF($A164&lt;=Dados_Cliente!$B$8*12,D163*(1+Dados_Cliente!$B$24)+Dados_Cliente!$B$7,D163)</f>
        <v>1366.26290359263</v>
      </c>
      <c r="E164" s="2">
        <f>IF($A164&lt;=Dados_Cliente!$B$8*12,E163*(1+Dados_Cliente!$B$27)+Dados_Cliente!$B$7,E163)</f>
        <v>1397.58801631734</v>
      </c>
      <c r="F164" s="2">
        <f>IF($A164&lt;=Dados_Cliente!$B$8*12,F163*(1+Dados_Cliente!$B$28)+Dados_Cliente!$B$7,F163)</f>
        <v>1334.50937803276</v>
      </c>
    </row>
    <row r="165" spans="1:6">
      <c r="A165">
        <f t="shared" si="4"/>
        <v>163</v>
      </c>
      <c r="B165">
        <f t="shared" si="5"/>
        <v>13.5833333333333</v>
      </c>
      <c r="C165" s="2">
        <f>IF($A165&lt;=Dados_Cliente!$B$8*12,C164+Dados_Cliente!$B$7,C164)</f>
        <v>1300</v>
      </c>
      <c r="D165" s="2">
        <f>IF($A165&lt;=Dados_Cliente!$B$8*12,D164*(1+Dados_Cliente!$B$24)+Dados_Cliente!$B$7,D164)</f>
        <v>1366.26290359263</v>
      </c>
      <c r="E165" s="2">
        <f>IF($A165&lt;=Dados_Cliente!$B$8*12,E164*(1+Dados_Cliente!$B$27)+Dados_Cliente!$B$7,E164)</f>
        <v>1397.58801631734</v>
      </c>
      <c r="F165" s="2">
        <f>IF($A165&lt;=Dados_Cliente!$B$8*12,F164*(1+Dados_Cliente!$B$28)+Dados_Cliente!$B$7,F164)</f>
        <v>1334.50937803276</v>
      </c>
    </row>
    <row r="166" spans="1:6">
      <c r="A166">
        <f t="shared" si="4"/>
        <v>164</v>
      </c>
      <c r="B166">
        <f t="shared" si="5"/>
        <v>13.6666666666667</v>
      </c>
      <c r="C166" s="2">
        <f>IF($A166&lt;=Dados_Cliente!$B$8*12,C165+Dados_Cliente!$B$7,C165)</f>
        <v>1300</v>
      </c>
      <c r="D166" s="2">
        <f>IF($A166&lt;=Dados_Cliente!$B$8*12,D165*(1+Dados_Cliente!$B$24)+Dados_Cliente!$B$7,D165)</f>
        <v>1366.26290359263</v>
      </c>
      <c r="E166" s="2">
        <f>IF($A166&lt;=Dados_Cliente!$B$8*12,E165*(1+Dados_Cliente!$B$27)+Dados_Cliente!$B$7,E165)</f>
        <v>1397.58801631734</v>
      </c>
      <c r="F166" s="2">
        <f>IF($A166&lt;=Dados_Cliente!$B$8*12,F165*(1+Dados_Cliente!$B$28)+Dados_Cliente!$B$7,F165)</f>
        <v>1334.50937803276</v>
      </c>
    </row>
    <row r="167" spans="1:6">
      <c r="A167">
        <f t="shared" si="4"/>
        <v>165</v>
      </c>
      <c r="B167">
        <f t="shared" si="5"/>
        <v>13.75</v>
      </c>
      <c r="C167" s="2">
        <f>IF($A167&lt;=Dados_Cliente!$B$8*12,C166+Dados_Cliente!$B$7,C166)</f>
        <v>1300</v>
      </c>
      <c r="D167" s="2">
        <f>IF($A167&lt;=Dados_Cliente!$B$8*12,D166*(1+Dados_Cliente!$B$24)+Dados_Cliente!$B$7,D166)</f>
        <v>1366.26290359263</v>
      </c>
      <c r="E167" s="2">
        <f>IF($A167&lt;=Dados_Cliente!$B$8*12,E166*(1+Dados_Cliente!$B$27)+Dados_Cliente!$B$7,E166)</f>
        <v>1397.58801631734</v>
      </c>
      <c r="F167" s="2">
        <f>IF($A167&lt;=Dados_Cliente!$B$8*12,F166*(1+Dados_Cliente!$B$28)+Dados_Cliente!$B$7,F166)</f>
        <v>1334.50937803276</v>
      </c>
    </row>
    <row r="168" spans="1:6">
      <c r="A168">
        <f t="shared" si="4"/>
        <v>166</v>
      </c>
      <c r="B168">
        <f t="shared" si="5"/>
        <v>13.8333333333333</v>
      </c>
      <c r="C168" s="2">
        <f>IF($A168&lt;=Dados_Cliente!$B$8*12,C167+Dados_Cliente!$B$7,C167)</f>
        <v>1300</v>
      </c>
      <c r="D168" s="2">
        <f>IF($A168&lt;=Dados_Cliente!$B$8*12,D167*(1+Dados_Cliente!$B$24)+Dados_Cliente!$B$7,D167)</f>
        <v>1366.26290359263</v>
      </c>
      <c r="E168" s="2">
        <f>IF($A168&lt;=Dados_Cliente!$B$8*12,E167*(1+Dados_Cliente!$B$27)+Dados_Cliente!$B$7,E167)</f>
        <v>1397.58801631734</v>
      </c>
      <c r="F168" s="2">
        <f>IF($A168&lt;=Dados_Cliente!$B$8*12,F167*(1+Dados_Cliente!$B$28)+Dados_Cliente!$B$7,F167)</f>
        <v>1334.50937803276</v>
      </c>
    </row>
    <row r="169" spans="1:6">
      <c r="A169">
        <f t="shared" si="4"/>
        <v>167</v>
      </c>
      <c r="B169">
        <f t="shared" si="5"/>
        <v>13.9166666666667</v>
      </c>
      <c r="C169" s="2">
        <f>IF($A169&lt;=Dados_Cliente!$B$8*12,C168+Dados_Cliente!$B$7,C168)</f>
        <v>1300</v>
      </c>
      <c r="D169" s="2">
        <f>IF($A169&lt;=Dados_Cliente!$B$8*12,D168*(1+Dados_Cliente!$B$24)+Dados_Cliente!$B$7,D168)</f>
        <v>1366.26290359263</v>
      </c>
      <c r="E169" s="2">
        <f>IF($A169&lt;=Dados_Cliente!$B$8*12,E168*(1+Dados_Cliente!$B$27)+Dados_Cliente!$B$7,E168)</f>
        <v>1397.58801631734</v>
      </c>
      <c r="F169" s="2">
        <f>IF($A169&lt;=Dados_Cliente!$B$8*12,F168*(1+Dados_Cliente!$B$28)+Dados_Cliente!$B$7,F168)</f>
        <v>1334.50937803276</v>
      </c>
    </row>
    <row r="170" spans="1:6">
      <c r="A170">
        <f t="shared" si="4"/>
        <v>168</v>
      </c>
      <c r="B170">
        <f t="shared" si="5"/>
        <v>14</v>
      </c>
      <c r="C170" s="2">
        <f>IF($A170&lt;=Dados_Cliente!$B$8*12,C169+Dados_Cliente!$B$7,C169)</f>
        <v>1300</v>
      </c>
      <c r="D170" s="2">
        <f>IF($A170&lt;=Dados_Cliente!$B$8*12,D169*(1+Dados_Cliente!$B$24)+Dados_Cliente!$B$7,D169)</f>
        <v>1366.26290359263</v>
      </c>
      <c r="E170" s="2">
        <f>IF($A170&lt;=Dados_Cliente!$B$8*12,E169*(1+Dados_Cliente!$B$27)+Dados_Cliente!$B$7,E169)</f>
        <v>1397.58801631734</v>
      </c>
      <c r="F170" s="2">
        <f>IF($A170&lt;=Dados_Cliente!$B$8*12,F169*(1+Dados_Cliente!$B$28)+Dados_Cliente!$B$7,F169)</f>
        <v>1334.50937803276</v>
      </c>
    </row>
    <row r="171" spans="1:6">
      <c r="A171">
        <f t="shared" si="4"/>
        <v>169</v>
      </c>
      <c r="B171">
        <f t="shared" si="5"/>
        <v>14.0833333333333</v>
      </c>
      <c r="C171" s="2">
        <f>IF($A171&lt;=Dados_Cliente!$B$8*12,C170+Dados_Cliente!$B$7,C170)</f>
        <v>1300</v>
      </c>
      <c r="D171" s="2">
        <f>IF($A171&lt;=Dados_Cliente!$B$8*12,D170*(1+Dados_Cliente!$B$24)+Dados_Cliente!$B$7,D170)</f>
        <v>1366.26290359263</v>
      </c>
      <c r="E171" s="2">
        <f>IF($A171&lt;=Dados_Cliente!$B$8*12,E170*(1+Dados_Cliente!$B$27)+Dados_Cliente!$B$7,E170)</f>
        <v>1397.58801631734</v>
      </c>
      <c r="F171" s="2">
        <f>IF($A171&lt;=Dados_Cliente!$B$8*12,F170*(1+Dados_Cliente!$B$28)+Dados_Cliente!$B$7,F170)</f>
        <v>1334.50937803276</v>
      </c>
    </row>
    <row r="172" spans="1:6">
      <c r="A172">
        <f t="shared" si="4"/>
        <v>170</v>
      </c>
      <c r="B172">
        <f t="shared" si="5"/>
        <v>14.1666666666667</v>
      </c>
      <c r="C172" s="2">
        <f>IF($A172&lt;=Dados_Cliente!$B$8*12,C171+Dados_Cliente!$B$7,C171)</f>
        <v>1300</v>
      </c>
      <c r="D172" s="2">
        <f>IF($A172&lt;=Dados_Cliente!$B$8*12,D171*(1+Dados_Cliente!$B$24)+Dados_Cliente!$B$7,D171)</f>
        <v>1366.26290359263</v>
      </c>
      <c r="E172" s="2">
        <f>IF($A172&lt;=Dados_Cliente!$B$8*12,E171*(1+Dados_Cliente!$B$27)+Dados_Cliente!$B$7,E171)</f>
        <v>1397.58801631734</v>
      </c>
      <c r="F172" s="2">
        <f>IF($A172&lt;=Dados_Cliente!$B$8*12,F171*(1+Dados_Cliente!$B$28)+Dados_Cliente!$B$7,F171)</f>
        <v>1334.50937803276</v>
      </c>
    </row>
    <row r="173" spans="1:6">
      <c r="A173">
        <f t="shared" si="4"/>
        <v>171</v>
      </c>
      <c r="B173">
        <f t="shared" si="5"/>
        <v>14.25</v>
      </c>
      <c r="C173" s="2">
        <f>IF($A173&lt;=Dados_Cliente!$B$8*12,C172+Dados_Cliente!$B$7,C172)</f>
        <v>1300</v>
      </c>
      <c r="D173" s="2">
        <f>IF($A173&lt;=Dados_Cliente!$B$8*12,D172*(1+Dados_Cliente!$B$24)+Dados_Cliente!$B$7,D172)</f>
        <v>1366.26290359263</v>
      </c>
      <c r="E173" s="2">
        <f>IF($A173&lt;=Dados_Cliente!$B$8*12,E172*(1+Dados_Cliente!$B$27)+Dados_Cliente!$B$7,E172)</f>
        <v>1397.58801631734</v>
      </c>
      <c r="F173" s="2">
        <f>IF($A173&lt;=Dados_Cliente!$B$8*12,F172*(1+Dados_Cliente!$B$28)+Dados_Cliente!$B$7,F172)</f>
        <v>1334.50937803276</v>
      </c>
    </row>
    <row r="174" spans="1:6">
      <c r="A174">
        <f t="shared" si="4"/>
        <v>172</v>
      </c>
      <c r="B174">
        <f t="shared" si="5"/>
        <v>14.3333333333333</v>
      </c>
      <c r="C174" s="2">
        <f>IF($A174&lt;=Dados_Cliente!$B$8*12,C173+Dados_Cliente!$B$7,C173)</f>
        <v>1300</v>
      </c>
      <c r="D174" s="2">
        <f>IF($A174&lt;=Dados_Cliente!$B$8*12,D173*(1+Dados_Cliente!$B$24)+Dados_Cliente!$B$7,D173)</f>
        <v>1366.26290359263</v>
      </c>
      <c r="E174" s="2">
        <f>IF($A174&lt;=Dados_Cliente!$B$8*12,E173*(1+Dados_Cliente!$B$27)+Dados_Cliente!$B$7,E173)</f>
        <v>1397.58801631734</v>
      </c>
      <c r="F174" s="2">
        <f>IF($A174&lt;=Dados_Cliente!$B$8*12,F173*(1+Dados_Cliente!$B$28)+Dados_Cliente!$B$7,F173)</f>
        <v>1334.50937803276</v>
      </c>
    </row>
    <row r="175" spans="1:6">
      <c r="A175">
        <f t="shared" si="4"/>
        <v>173</v>
      </c>
      <c r="B175">
        <f t="shared" si="5"/>
        <v>14.4166666666667</v>
      </c>
      <c r="C175" s="2">
        <f>IF($A175&lt;=Dados_Cliente!$B$8*12,C174+Dados_Cliente!$B$7,C174)</f>
        <v>1300</v>
      </c>
      <c r="D175" s="2">
        <f>IF($A175&lt;=Dados_Cliente!$B$8*12,D174*(1+Dados_Cliente!$B$24)+Dados_Cliente!$B$7,D174)</f>
        <v>1366.26290359263</v>
      </c>
      <c r="E175" s="2">
        <f>IF($A175&lt;=Dados_Cliente!$B$8*12,E174*(1+Dados_Cliente!$B$27)+Dados_Cliente!$B$7,E174)</f>
        <v>1397.58801631734</v>
      </c>
      <c r="F175" s="2">
        <f>IF($A175&lt;=Dados_Cliente!$B$8*12,F174*(1+Dados_Cliente!$B$28)+Dados_Cliente!$B$7,F174)</f>
        <v>1334.50937803276</v>
      </c>
    </row>
    <row r="176" spans="1:6">
      <c r="A176">
        <f t="shared" si="4"/>
        <v>174</v>
      </c>
      <c r="B176">
        <f t="shared" si="5"/>
        <v>14.5</v>
      </c>
      <c r="C176" s="2">
        <f>IF($A176&lt;=Dados_Cliente!$B$8*12,C175+Dados_Cliente!$B$7,C175)</f>
        <v>1300</v>
      </c>
      <c r="D176" s="2">
        <f>IF($A176&lt;=Dados_Cliente!$B$8*12,D175*(1+Dados_Cliente!$B$24)+Dados_Cliente!$B$7,D175)</f>
        <v>1366.26290359263</v>
      </c>
      <c r="E176" s="2">
        <f>IF($A176&lt;=Dados_Cliente!$B$8*12,E175*(1+Dados_Cliente!$B$27)+Dados_Cliente!$B$7,E175)</f>
        <v>1397.58801631734</v>
      </c>
      <c r="F176" s="2">
        <f>IF($A176&lt;=Dados_Cliente!$B$8*12,F175*(1+Dados_Cliente!$B$28)+Dados_Cliente!$B$7,F175)</f>
        <v>1334.50937803276</v>
      </c>
    </row>
    <row r="177" spans="1:6">
      <c r="A177">
        <f t="shared" si="4"/>
        <v>175</v>
      </c>
      <c r="B177">
        <f t="shared" si="5"/>
        <v>14.5833333333333</v>
      </c>
      <c r="C177" s="2">
        <f>IF($A177&lt;=Dados_Cliente!$B$8*12,C176+Dados_Cliente!$B$7,C176)</f>
        <v>1300</v>
      </c>
      <c r="D177" s="2">
        <f>IF($A177&lt;=Dados_Cliente!$B$8*12,D176*(1+Dados_Cliente!$B$24)+Dados_Cliente!$B$7,D176)</f>
        <v>1366.26290359263</v>
      </c>
      <c r="E177" s="2">
        <f>IF($A177&lt;=Dados_Cliente!$B$8*12,E176*(1+Dados_Cliente!$B$27)+Dados_Cliente!$B$7,E176)</f>
        <v>1397.58801631734</v>
      </c>
      <c r="F177" s="2">
        <f>IF($A177&lt;=Dados_Cliente!$B$8*12,F176*(1+Dados_Cliente!$B$28)+Dados_Cliente!$B$7,F176)</f>
        <v>1334.50937803276</v>
      </c>
    </row>
    <row r="178" spans="1:6">
      <c r="A178">
        <f t="shared" si="4"/>
        <v>176</v>
      </c>
      <c r="B178">
        <f t="shared" si="5"/>
        <v>14.6666666666667</v>
      </c>
      <c r="C178" s="2">
        <f>IF($A178&lt;=Dados_Cliente!$B$8*12,C177+Dados_Cliente!$B$7,C177)</f>
        <v>1300</v>
      </c>
      <c r="D178" s="2">
        <f>IF($A178&lt;=Dados_Cliente!$B$8*12,D177*(1+Dados_Cliente!$B$24)+Dados_Cliente!$B$7,D177)</f>
        <v>1366.26290359263</v>
      </c>
      <c r="E178" s="2">
        <f>IF($A178&lt;=Dados_Cliente!$B$8*12,E177*(1+Dados_Cliente!$B$27)+Dados_Cliente!$B$7,E177)</f>
        <v>1397.58801631734</v>
      </c>
      <c r="F178" s="2">
        <f>IF($A178&lt;=Dados_Cliente!$B$8*12,F177*(1+Dados_Cliente!$B$28)+Dados_Cliente!$B$7,F177)</f>
        <v>1334.50937803276</v>
      </c>
    </row>
    <row r="179" spans="1:6">
      <c r="A179">
        <f t="shared" si="4"/>
        <v>177</v>
      </c>
      <c r="B179">
        <f t="shared" si="5"/>
        <v>14.75</v>
      </c>
      <c r="C179" s="2">
        <f>IF($A179&lt;=Dados_Cliente!$B$8*12,C178+Dados_Cliente!$B$7,C178)</f>
        <v>1300</v>
      </c>
      <c r="D179" s="2">
        <f>IF($A179&lt;=Dados_Cliente!$B$8*12,D178*(1+Dados_Cliente!$B$24)+Dados_Cliente!$B$7,D178)</f>
        <v>1366.26290359263</v>
      </c>
      <c r="E179" s="2">
        <f>IF($A179&lt;=Dados_Cliente!$B$8*12,E178*(1+Dados_Cliente!$B$27)+Dados_Cliente!$B$7,E178)</f>
        <v>1397.58801631734</v>
      </c>
      <c r="F179" s="2">
        <f>IF($A179&lt;=Dados_Cliente!$B$8*12,F178*(1+Dados_Cliente!$B$28)+Dados_Cliente!$B$7,F178)</f>
        <v>1334.50937803276</v>
      </c>
    </row>
    <row r="180" spans="1:6">
      <c r="A180">
        <f t="shared" si="4"/>
        <v>178</v>
      </c>
      <c r="B180">
        <f t="shared" si="5"/>
        <v>14.8333333333333</v>
      </c>
      <c r="C180" s="2">
        <f>IF($A180&lt;=Dados_Cliente!$B$8*12,C179+Dados_Cliente!$B$7,C179)</f>
        <v>1300</v>
      </c>
      <c r="D180" s="2">
        <f>IF($A180&lt;=Dados_Cliente!$B$8*12,D179*(1+Dados_Cliente!$B$24)+Dados_Cliente!$B$7,D179)</f>
        <v>1366.26290359263</v>
      </c>
      <c r="E180" s="2">
        <f>IF($A180&lt;=Dados_Cliente!$B$8*12,E179*(1+Dados_Cliente!$B$27)+Dados_Cliente!$B$7,E179)</f>
        <v>1397.58801631734</v>
      </c>
      <c r="F180" s="2">
        <f>IF($A180&lt;=Dados_Cliente!$B$8*12,F179*(1+Dados_Cliente!$B$28)+Dados_Cliente!$B$7,F179)</f>
        <v>1334.50937803276</v>
      </c>
    </row>
    <row r="181" spans="1:6">
      <c r="A181">
        <f t="shared" si="4"/>
        <v>179</v>
      </c>
      <c r="B181">
        <f t="shared" si="5"/>
        <v>14.9166666666667</v>
      </c>
      <c r="C181" s="2">
        <f>IF($A181&lt;=Dados_Cliente!$B$8*12,C180+Dados_Cliente!$B$7,C180)</f>
        <v>1300</v>
      </c>
      <c r="D181" s="2">
        <f>IF($A181&lt;=Dados_Cliente!$B$8*12,D180*(1+Dados_Cliente!$B$24)+Dados_Cliente!$B$7,D180)</f>
        <v>1366.26290359263</v>
      </c>
      <c r="E181" s="2">
        <f>IF($A181&lt;=Dados_Cliente!$B$8*12,E180*(1+Dados_Cliente!$B$27)+Dados_Cliente!$B$7,E180)</f>
        <v>1397.58801631734</v>
      </c>
      <c r="F181" s="2">
        <f>IF($A181&lt;=Dados_Cliente!$B$8*12,F180*(1+Dados_Cliente!$B$28)+Dados_Cliente!$B$7,F180)</f>
        <v>1334.50937803276</v>
      </c>
    </row>
    <row r="182" spans="1:6">
      <c r="A182">
        <f t="shared" si="4"/>
        <v>180</v>
      </c>
      <c r="B182">
        <f t="shared" si="5"/>
        <v>15</v>
      </c>
      <c r="C182" s="2">
        <f>IF($A182&lt;=Dados_Cliente!$B$8*12,C181+Dados_Cliente!$B$7,C181)</f>
        <v>1300</v>
      </c>
      <c r="D182" s="2">
        <f>IF($A182&lt;=Dados_Cliente!$B$8*12,D181*(1+Dados_Cliente!$B$24)+Dados_Cliente!$B$7,D181)</f>
        <v>1366.26290359263</v>
      </c>
      <c r="E182" s="2">
        <f>IF($A182&lt;=Dados_Cliente!$B$8*12,E181*(1+Dados_Cliente!$B$27)+Dados_Cliente!$B$7,E181)</f>
        <v>1397.58801631734</v>
      </c>
      <c r="F182" s="2">
        <f>IF($A182&lt;=Dados_Cliente!$B$8*12,F181*(1+Dados_Cliente!$B$28)+Dados_Cliente!$B$7,F181)</f>
        <v>1334.50937803276</v>
      </c>
    </row>
    <row r="183" spans="1:6">
      <c r="A183">
        <f t="shared" si="4"/>
        <v>181</v>
      </c>
      <c r="B183">
        <f t="shared" si="5"/>
        <v>15.0833333333333</v>
      </c>
      <c r="C183" s="2">
        <f>IF($A183&lt;=Dados_Cliente!$B$8*12,C182+Dados_Cliente!$B$7,C182)</f>
        <v>1300</v>
      </c>
      <c r="D183" s="2">
        <f>IF($A183&lt;=Dados_Cliente!$B$8*12,D182*(1+Dados_Cliente!$B$24)+Dados_Cliente!$B$7,D182)</f>
        <v>1366.26290359263</v>
      </c>
      <c r="E183" s="2">
        <f>IF($A183&lt;=Dados_Cliente!$B$8*12,E182*(1+Dados_Cliente!$B$27)+Dados_Cliente!$B$7,E182)</f>
        <v>1397.58801631734</v>
      </c>
      <c r="F183" s="2">
        <f>IF($A183&lt;=Dados_Cliente!$B$8*12,F182*(1+Dados_Cliente!$B$28)+Dados_Cliente!$B$7,F182)</f>
        <v>1334.50937803276</v>
      </c>
    </row>
    <row r="184" spans="1:6">
      <c r="A184">
        <f t="shared" si="4"/>
        <v>182</v>
      </c>
      <c r="B184">
        <f t="shared" si="5"/>
        <v>15.1666666666667</v>
      </c>
      <c r="C184" s="2">
        <f>IF($A184&lt;=Dados_Cliente!$B$8*12,C183+Dados_Cliente!$B$7,C183)</f>
        <v>1300</v>
      </c>
      <c r="D184" s="2">
        <f>IF($A184&lt;=Dados_Cliente!$B$8*12,D183*(1+Dados_Cliente!$B$24)+Dados_Cliente!$B$7,D183)</f>
        <v>1366.26290359263</v>
      </c>
      <c r="E184" s="2">
        <f>IF($A184&lt;=Dados_Cliente!$B$8*12,E183*(1+Dados_Cliente!$B$27)+Dados_Cliente!$B$7,E183)</f>
        <v>1397.58801631734</v>
      </c>
      <c r="F184" s="2">
        <f>IF($A184&lt;=Dados_Cliente!$B$8*12,F183*(1+Dados_Cliente!$B$28)+Dados_Cliente!$B$7,F183)</f>
        <v>1334.50937803276</v>
      </c>
    </row>
    <row r="185" spans="1:6">
      <c r="A185">
        <f t="shared" si="4"/>
        <v>183</v>
      </c>
      <c r="B185">
        <f t="shared" si="5"/>
        <v>15.25</v>
      </c>
      <c r="C185" s="2">
        <f>IF($A185&lt;=Dados_Cliente!$B$8*12,C184+Dados_Cliente!$B$7,C184)</f>
        <v>1300</v>
      </c>
      <c r="D185" s="2">
        <f>IF($A185&lt;=Dados_Cliente!$B$8*12,D184*(1+Dados_Cliente!$B$24)+Dados_Cliente!$B$7,D184)</f>
        <v>1366.26290359263</v>
      </c>
      <c r="E185" s="2">
        <f>IF($A185&lt;=Dados_Cliente!$B$8*12,E184*(1+Dados_Cliente!$B$27)+Dados_Cliente!$B$7,E184)</f>
        <v>1397.58801631734</v>
      </c>
      <c r="F185" s="2">
        <f>IF($A185&lt;=Dados_Cliente!$B$8*12,F184*(1+Dados_Cliente!$B$28)+Dados_Cliente!$B$7,F184)</f>
        <v>1334.50937803276</v>
      </c>
    </row>
    <row r="186" spans="1:6">
      <c r="A186">
        <f t="shared" si="4"/>
        <v>184</v>
      </c>
      <c r="B186">
        <f t="shared" si="5"/>
        <v>15.3333333333333</v>
      </c>
      <c r="C186" s="2">
        <f>IF($A186&lt;=Dados_Cliente!$B$8*12,C185+Dados_Cliente!$B$7,C185)</f>
        <v>1300</v>
      </c>
      <c r="D186" s="2">
        <f>IF($A186&lt;=Dados_Cliente!$B$8*12,D185*(1+Dados_Cliente!$B$24)+Dados_Cliente!$B$7,D185)</f>
        <v>1366.26290359263</v>
      </c>
      <c r="E186" s="2">
        <f>IF($A186&lt;=Dados_Cliente!$B$8*12,E185*(1+Dados_Cliente!$B$27)+Dados_Cliente!$B$7,E185)</f>
        <v>1397.58801631734</v>
      </c>
      <c r="F186" s="2">
        <f>IF($A186&lt;=Dados_Cliente!$B$8*12,F185*(1+Dados_Cliente!$B$28)+Dados_Cliente!$B$7,F185)</f>
        <v>1334.50937803276</v>
      </c>
    </row>
    <row r="187" spans="1:6">
      <c r="A187">
        <f t="shared" si="4"/>
        <v>185</v>
      </c>
      <c r="B187">
        <f t="shared" si="5"/>
        <v>15.4166666666667</v>
      </c>
      <c r="C187" s="2">
        <f>IF($A187&lt;=Dados_Cliente!$B$8*12,C186+Dados_Cliente!$B$7,C186)</f>
        <v>1300</v>
      </c>
      <c r="D187" s="2">
        <f>IF($A187&lt;=Dados_Cliente!$B$8*12,D186*(1+Dados_Cliente!$B$24)+Dados_Cliente!$B$7,D186)</f>
        <v>1366.26290359263</v>
      </c>
      <c r="E187" s="2">
        <f>IF($A187&lt;=Dados_Cliente!$B$8*12,E186*(1+Dados_Cliente!$B$27)+Dados_Cliente!$B$7,E186)</f>
        <v>1397.58801631734</v>
      </c>
      <c r="F187" s="2">
        <f>IF($A187&lt;=Dados_Cliente!$B$8*12,F186*(1+Dados_Cliente!$B$28)+Dados_Cliente!$B$7,F186)</f>
        <v>1334.50937803276</v>
      </c>
    </row>
    <row r="188" spans="1:6">
      <c r="A188">
        <f t="shared" si="4"/>
        <v>186</v>
      </c>
      <c r="B188">
        <f t="shared" si="5"/>
        <v>15.5</v>
      </c>
      <c r="C188" s="2">
        <f>IF($A188&lt;=Dados_Cliente!$B$8*12,C187+Dados_Cliente!$B$7,C187)</f>
        <v>1300</v>
      </c>
      <c r="D188" s="2">
        <f>IF($A188&lt;=Dados_Cliente!$B$8*12,D187*(1+Dados_Cliente!$B$24)+Dados_Cliente!$B$7,D187)</f>
        <v>1366.26290359263</v>
      </c>
      <c r="E188" s="2">
        <f>IF($A188&lt;=Dados_Cliente!$B$8*12,E187*(1+Dados_Cliente!$B$27)+Dados_Cliente!$B$7,E187)</f>
        <v>1397.58801631734</v>
      </c>
      <c r="F188" s="2">
        <f>IF($A188&lt;=Dados_Cliente!$B$8*12,F187*(1+Dados_Cliente!$B$28)+Dados_Cliente!$B$7,F187)</f>
        <v>1334.50937803276</v>
      </c>
    </row>
    <row r="189" spans="1:6">
      <c r="A189">
        <f t="shared" si="4"/>
        <v>187</v>
      </c>
      <c r="B189">
        <f t="shared" si="5"/>
        <v>15.5833333333333</v>
      </c>
      <c r="C189" s="2">
        <f>IF($A189&lt;=Dados_Cliente!$B$8*12,C188+Dados_Cliente!$B$7,C188)</f>
        <v>1300</v>
      </c>
      <c r="D189" s="2">
        <f>IF($A189&lt;=Dados_Cliente!$B$8*12,D188*(1+Dados_Cliente!$B$24)+Dados_Cliente!$B$7,D188)</f>
        <v>1366.26290359263</v>
      </c>
      <c r="E189" s="2">
        <f>IF($A189&lt;=Dados_Cliente!$B$8*12,E188*(1+Dados_Cliente!$B$27)+Dados_Cliente!$B$7,E188)</f>
        <v>1397.58801631734</v>
      </c>
      <c r="F189" s="2">
        <f>IF($A189&lt;=Dados_Cliente!$B$8*12,F188*(1+Dados_Cliente!$B$28)+Dados_Cliente!$B$7,F188)</f>
        <v>1334.50937803276</v>
      </c>
    </row>
    <row r="190" spans="1:6">
      <c r="A190">
        <f t="shared" si="4"/>
        <v>188</v>
      </c>
      <c r="B190">
        <f t="shared" si="5"/>
        <v>15.6666666666667</v>
      </c>
      <c r="C190" s="2">
        <f>IF($A190&lt;=Dados_Cliente!$B$8*12,C189+Dados_Cliente!$B$7,C189)</f>
        <v>1300</v>
      </c>
      <c r="D190" s="2">
        <f>IF($A190&lt;=Dados_Cliente!$B$8*12,D189*(1+Dados_Cliente!$B$24)+Dados_Cliente!$B$7,D189)</f>
        <v>1366.26290359263</v>
      </c>
      <c r="E190" s="2">
        <f>IF($A190&lt;=Dados_Cliente!$B$8*12,E189*(1+Dados_Cliente!$B$27)+Dados_Cliente!$B$7,E189)</f>
        <v>1397.58801631734</v>
      </c>
      <c r="F190" s="2">
        <f>IF($A190&lt;=Dados_Cliente!$B$8*12,F189*(1+Dados_Cliente!$B$28)+Dados_Cliente!$B$7,F189)</f>
        <v>1334.50937803276</v>
      </c>
    </row>
    <row r="191" spans="1:6">
      <c r="A191">
        <f t="shared" si="4"/>
        <v>189</v>
      </c>
      <c r="B191">
        <f t="shared" si="5"/>
        <v>15.75</v>
      </c>
      <c r="C191" s="2">
        <f>IF($A191&lt;=Dados_Cliente!$B$8*12,C190+Dados_Cliente!$B$7,C190)</f>
        <v>1300</v>
      </c>
      <c r="D191" s="2">
        <f>IF($A191&lt;=Dados_Cliente!$B$8*12,D190*(1+Dados_Cliente!$B$24)+Dados_Cliente!$B$7,D190)</f>
        <v>1366.26290359263</v>
      </c>
      <c r="E191" s="2">
        <f>IF($A191&lt;=Dados_Cliente!$B$8*12,E190*(1+Dados_Cliente!$B$27)+Dados_Cliente!$B$7,E190)</f>
        <v>1397.58801631734</v>
      </c>
      <c r="F191" s="2">
        <f>IF($A191&lt;=Dados_Cliente!$B$8*12,F190*(1+Dados_Cliente!$B$28)+Dados_Cliente!$B$7,F190)</f>
        <v>1334.50937803276</v>
      </c>
    </row>
    <row r="192" spans="1:6">
      <c r="A192">
        <f t="shared" si="4"/>
        <v>190</v>
      </c>
      <c r="B192">
        <f t="shared" si="5"/>
        <v>15.8333333333333</v>
      </c>
      <c r="C192" s="2">
        <f>IF($A192&lt;=Dados_Cliente!$B$8*12,C191+Dados_Cliente!$B$7,C191)</f>
        <v>1300</v>
      </c>
      <c r="D192" s="2">
        <f>IF($A192&lt;=Dados_Cliente!$B$8*12,D191*(1+Dados_Cliente!$B$24)+Dados_Cliente!$B$7,D191)</f>
        <v>1366.26290359263</v>
      </c>
      <c r="E192" s="2">
        <f>IF($A192&lt;=Dados_Cliente!$B$8*12,E191*(1+Dados_Cliente!$B$27)+Dados_Cliente!$B$7,E191)</f>
        <v>1397.58801631734</v>
      </c>
      <c r="F192" s="2">
        <f>IF($A192&lt;=Dados_Cliente!$B$8*12,F191*(1+Dados_Cliente!$B$28)+Dados_Cliente!$B$7,F191)</f>
        <v>1334.50937803276</v>
      </c>
    </row>
    <row r="193" spans="1:6">
      <c r="A193">
        <f t="shared" si="4"/>
        <v>191</v>
      </c>
      <c r="B193">
        <f t="shared" si="5"/>
        <v>15.9166666666667</v>
      </c>
      <c r="C193" s="2">
        <f>IF($A193&lt;=Dados_Cliente!$B$8*12,C192+Dados_Cliente!$B$7,C192)</f>
        <v>1300</v>
      </c>
      <c r="D193" s="2">
        <f>IF($A193&lt;=Dados_Cliente!$B$8*12,D192*(1+Dados_Cliente!$B$24)+Dados_Cliente!$B$7,D192)</f>
        <v>1366.26290359263</v>
      </c>
      <c r="E193" s="2">
        <f>IF($A193&lt;=Dados_Cliente!$B$8*12,E192*(1+Dados_Cliente!$B$27)+Dados_Cliente!$B$7,E192)</f>
        <v>1397.58801631734</v>
      </c>
      <c r="F193" s="2">
        <f>IF($A193&lt;=Dados_Cliente!$B$8*12,F192*(1+Dados_Cliente!$B$28)+Dados_Cliente!$B$7,F192)</f>
        <v>1334.50937803276</v>
      </c>
    </row>
    <row r="194" spans="1:6">
      <c r="A194">
        <f t="shared" si="4"/>
        <v>192</v>
      </c>
      <c r="B194">
        <f t="shared" si="5"/>
        <v>16</v>
      </c>
      <c r="C194" s="2">
        <f>IF($A194&lt;=Dados_Cliente!$B$8*12,C193+Dados_Cliente!$B$7,C193)</f>
        <v>1300</v>
      </c>
      <c r="D194" s="2">
        <f>IF($A194&lt;=Dados_Cliente!$B$8*12,D193*(1+Dados_Cliente!$B$24)+Dados_Cliente!$B$7,D193)</f>
        <v>1366.26290359263</v>
      </c>
      <c r="E194" s="2">
        <f>IF($A194&lt;=Dados_Cliente!$B$8*12,E193*(1+Dados_Cliente!$B$27)+Dados_Cliente!$B$7,E193)</f>
        <v>1397.58801631734</v>
      </c>
      <c r="F194" s="2">
        <f>IF($A194&lt;=Dados_Cliente!$B$8*12,F193*(1+Dados_Cliente!$B$28)+Dados_Cliente!$B$7,F193)</f>
        <v>1334.50937803276</v>
      </c>
    </row>
    <row r="195" spans="1:6">
      <c r="A195">
        <f t="shared" ref="A195:A258" si="6">A194+1</f>
        <v>193</v>
      </c>
      <c r="B195">
        <f t="shared" ref="B195:B258" si="7">A195/12</f>
        <v>16.0833333333333</v>
      </c>
      <c r="C195" s="2">
        <f>IF($A195&lt;=Dados_Cliente!$B$8*12,C194+Dados_Cliente!$B$7,C194)</f>
        <v>1300</v>
      </c>
      <c r="D195" s="2">
        <f>IF($A195&lt;=Dados_Cliente!$B$8*12,D194*(1+Dados_Cliente!$B$24)+Dados_Cliente!$B$7,D194)</f>
        <v>1366.26290359263</v>
      </c>
      <c r="E195" s="2">
        <f>IF($A195&lt;=Dados_Cliente!$B$8*12,E194*(1+Dados_Cliente!$B$27)+Dados_Cliente!$B$7,E194)</f>
        <v>1397.58801631734</v>
      </c>
      <c r="F195" s="2">
        <f>IF($A195&lt;=Dados_Cliente!$B$8*12,F194*(1+Dados_Cliente!$B$28)+Dados_Cliente!$B$7,F194)</f>
        <v>1334.50937803276</v>
      </c>
    </row>
    <row r="196" spans="1:6">
      <c r="A196">
        <f t="shared" si="6"/>
        <v>194</v>
      </c>
      <c r="B196">
        <f t="shared" si="7"/>
        <v>16.1666666666667</v>
      </c>
      <c r="C196" s="2">
        <f>IF($A196&lt;=Dados_Cliente!$B$8*12,C195+Dados_Cliente!$B$7,C195)</f>
        <v>1300</v>
      </c>
      <c r="D196" s="2">
        <f>IF($A196&lt;=Dados_Cliente!$B$8*12,D195*(1+Dados_Cliente!$B$24)+Dados_Cliente!$B$7,D195)</f>
        <v>1366.26290359263</v>
      </c>
      <c r="E196" s="2">
        <f>IF($A196&lt;=Dados_Cliente!$B$8*12,E195*(1+Dados_Cliente!$B$27)+Dados_Cliente!$B$7,E195)</f>
        <v>1397.58801631734</v>
      </c>
      <c r="F196" s="2">
        <f>IF($A196&lt;=Dados_Cliente!$B$8*12,F195*(1+Dados_Cliente!$B$28)+Dados_Cliente!$B$7,F195)</f>
        <v>1334.50937803276</v>
      </c>
    </row>
    <row r="197" spans="1:6">
      <c r="A197">
        <f t="shared" si="6"/>
        <v>195</v>
      </c>
      <c r="B197">
        <f t="shared" si="7"/>
        <v>16.25</v>
      </c>
      <c r="C197" s="2">
        <f>IF($A197&lt;=Dados_Cliente!$B$8*12,C196+Dados_Cliente!$B$7,C196)</f>
        <v>1300</v>
      </c>
      <c r="D197" s="2">
        <f>IF($A197&lt;=Dados_Cliente!$B$8*12,D196*(1+Dados_Cliente!$B$24)+Dados_Cliente!$B$7,D196)</f>
        <v>1366.26290359263</v>
      </c>
      <c r="E197" s="2">
        <f>IF($A197&lt;=Dados_Cliente!$B$8*12,E196*(1+Dados_Cliente!$B$27)+Dados_Cliente!$B$7,E196)</f>
        <v>1397.58801631734</v>
      </c>
      <c r="F197" s="2">
        <f>IF($A197&lt;=Dados_Cliente!$B$8*12,F196*(1+Dados_Cliente!$B$28)+Dados_Cliente!$B$7,F196)</f>
        <v>1334.50937803276</v>
      </c>
    </row>
    <row r="198" spans="1:6">
      <c r="A198">
        <f t="shared" si="6"/>
        <v>196</v>
      </c>
      <c r="B198">
        <f t="shared" si="7"/>
        <v>16.3333333333333</v>
      </c>
      <c r="C198" s="2">
        <f>IF($A198&lt;=Dados_Cliente!$B$8*12,C197+Dados_Cliente!$B$7,C197)</f>
        <v>1300</v>
      </c>
      <c r="D198" s="2">
        <f>IF($A198&lt;=Dados_Cliente!$B$8*12,D197*(1+Dados_Cliente!$B$24)+Dados_Cliente!$B$7,D197)</f>
        <v>1366.26290359263</v>
      </c>
      <c r="E198" s="2">
        <f>IF($A198&lt;=Dados_Cliente!$B$8*12,E197*(1+Dados_Cliente!$B$27)+Dados_Cliente!$B$7,E197)</f>
        <v>1397.58801631734</v>
      </c>
      <c r="F198" s="2">
        <f>IF($A198&lt;=Dados_Cliente!$B$8*12,F197*(1+Dados_Cliente!$B$28)+Dados_Cliente!$B$7,F197)</f>
        <v>1334.50937803276</v>
      </c>
    </row>
    <row r="199" spans="1:6">
      <c r="A199">
        <f t="shared" si="6"/>
        <v>197</v>
      </c>
      <c r="B199">
        <f t="shared" si="7"/>
        <v>16.4166666666667</v>
      </c>
      <c r="C199" s="2">
        <f>IF($A199&lt;=Dados_Cliente!$B$8*12,C198+Dados_Cliente!$B$7,C198)</f>
        <v>1300</v>
      </c>
      <c r="D199" s="2">
        <f>IF($A199&lt;=Dados_Cliente!$B$8*12,D198*(1+Dados_Cliente!$B$24)+Dados_Cliente!$B$7,D198)</f>
        <v>1366.26290359263</v>
      </c>
      <c r="E199" s="2">
        <f>IF($A199&lt;=Dados_Cliente!$B$8*12,E198*(1+Dados_Cliente!$B$27)+Dados_Cliente!$B$7,E198)</f>
        <v>1397.58801631734</v>
      </c>
      <c r="F199" s="2">
        <f>IF($A199&lt;=Dados_Cliente!$B$8*12,F198*(1+Dados_Cliente!$B$28)+Dados_Cliente!$B$7,F198)</f>
        <v>1334.50937803276</v>
      </c>
    </row>
    <row r="200" spans="1:6">
      <c r="A200">
        <f t="shared" si="6"/>
        <v>198</v>
      </c>
      <c r="B200">
        <f t="shared" si="7"/>
        <v>16.5</v>
      </c>
      <c r="C200" s="2">
        <f>IF($A200&lt;=Dados_Cliente!$B$8*12,C199+Dados_Cliente!$B$7,C199)</f>
        <v>1300</v>
      </c>
      <c r="D200" s="2">
        <f>IF($A200&lt;=Dados_Cliente!$B$8*12,D199*(1+Dados_Cliente!$B$24)+Dados_Cliente!$B$7,D199)</f>
        <v>1366.26290359263</v>
      </c>
      <c r="E200" s="2">
        <f>IF($A200&lt;=Dados_Cliente!$B$8*12,E199*(1+Dados_Cliente!$B$27)+Dados_Cliente!$B$7,E199)</f>
        <v>1397.58801631734</v>
      </c>
      <c r="F200" s="2">
        <f>IF($A200&lt;=Dados_Cliente!$B$8*12,F199*(1+Dados_Cliente!$B$28)+Dados_Cliente!$B$7,F199)</f>
        <v>1334.50937803276</v>
      </c>
    </row>
    <row r="201" spans="1:6">
      <c r="A201">
        <f t="shared" si="6"/>
        <v>199</v>
      </c>
      <c r="B201">
        <f t="shared" si="7"/>
        <v>16.5833333333333</v>
      </c>
      <c r="C201" s="2">
        <f>IF($A201&lt;=Dados_Cliente!$B$8*12,C200+Dados_Cliente!$B$7,C200)</f>
        <v>1300</v>
      </c>
      <c r="D201" s="2">
        <f>IF($A201&lt;=Dados_Cliente!$B$8*12,D200*(1+Dados_Cliente!$B$24)+Dados_Cliente!$B$7,D200)</f>
        <v>1366.26290359263</v>
      </c>
      <c r="E201" s="2">
        <f>IF($A201&lt;=Dados_Cliente!$B$8*12,E200*(1+Dados_Cliente!$B$27)+Dados_Cliente!$B$7,E200)</f>
        <v>1397.58801631734</v>
      </c>
      <c r="F201" s="2">
        <f>IF($A201&lt;=Dados_Cliente!$B$8*12,F200*(1+Dados_Cliente!$B$28)+Dados_Cliente!$B$7,F200)</f>
        <v>1334.50937803276</v>
      </c>
    </row>
    <row r="202" spans="1:6">
      <c r="A202">
        <f t="shared" si="6"/>
        <v>200</v>
      </c>
      <c r="B202">
        <f t="shared" si="7"/>
        <v>16.6666666666667</v>
      </c>
      <c r="C202" s="2">
        <f>IF($A202&lt;=Dados_Cliente!$B$8*12,C201+Dados_Cliente!$B$7,C201)</f>
        <v>1300</v>
      </c>
      <c r="D202" s="2">
        <f>IF($A202&lt;=Dados_Cliente!$B$8*12,D201*(1+Dados_Cliente!$B$24)+Dados_Cliente!$B$7,D201)</f>
        <v>1366.26290359263</v>
      </c>
      <c r="E202" s="2">
        <f>IF($A202&lt;=Dados_Cliente!$B$8*12,E201*(1+Dados_Cliente!$B$27)+Dados_Cliente!$B$7,E201)</f>
        <v>1397.58801631734</v>
      </c>
      <c r="F202" s="2">
        <f>IF($A202&lt;=Dados_Cliente!$B$8*12,F201*(1+Dados_Cliente!$B$28)+Dados_Cliente!$B$7,F201)</f>
        <v>1334.50937803276</v>
      </c>
    </row>
    <row r="203" spans="1:6">
      <c r="A203">
        <f t="shared" si="6"/>
        <v>201</v>
      </c>
      <c r="B203">
        <f t="shared" si="7"/>
        <v>16.75</v>
      </c>
      <c r="C203" s="2">
        <f>IF($A203&lt;=Dados_Cliente!$B$8*12,C202+Dados_Cliente!$B$7,C202)</f>
        <v>1300</v>
      </c>
      <c r="D203" s="2">
        <f>IF($A203&lt;=Dados_Cliente!$B$8*12,D202*(1+Dados_Cliente!$B$24)+Dados_Cliente!$B$7,D202)</f>
        <v>1366.26290359263</v>
      </c>
      <c r="E203" s="2">
        <f>IF($A203&lt;=Dados_Cliente!$B$8*12,E202*(1+Dados_Cliente!$B$27)+Dados_Cliente!$B$7,E202)</f>
        <v>1397.58801631734</v>
      </c>
      <c r="F203" s="2">
        <f>IF($A203&lt;=Dados_Cliente!$B$8*12,F202*(1+Dados_Cliente!$B$28)+Dados_Cliente!$B$7,F202)</f>
        <v>1334.50937803276</v>
      </c>
    </row>
    <row r="204" spans="1:6">
      <c r="A204">
        <f t="shared" si="6"/>
        <v>202</v>
      </c>
      <c r="B204">
        <f t="shared" si="7"/>
        <v>16.8333333333333</v>
      </c>
      <c r="C204" s="2">
        <f>IF($A204&lt;=Dados_Cliente!$B$8*12,C203+Dados_Cliente!$B$7,C203)</f>
        <v>1300</v>
      </c>
      <c r="D204" s="2">
        <f>IF($A204&lt;=Dados_Cliente!$B$8*12,D203*(1+Dados_Cliente!$B$24)+Dados_Cliente!$B$7,D203)</f>
        <v>1366.26290359263</v>
      </c>
      <c r="E204" s="2">
        <f>IF($A204&lt;=Dados_Cliente!$B$8*12,E203*(1+Dados_Cliente!$B$27)+Dados_Cliente!$B$7,E203)</f>
        <v>1397.58801631734</v>
      </c>
      <c r="F204" s="2">
        <f>IF($A204&lt;=Dados_Cliente!$B$8*12,F203*(1+Dados_Cliente!$B$28)+Dados_Cliente!$B$7,F203)</f>
        <v>1334.50937803276</v>
      </c>
    </row>
    <row r="205" spans="1:6">
      <c r="A205">
        <f t="shared" si="6"/>
        <v>203</v>
      </c>
      <c r="B205">
        <f t="shared" si="7"/>
        <v>16.9166666666667</v>
      </c>
      <c r="C205" s="2">
        <f>IF($A205&lt;=Dados_Cliente!$B$8*12,C204+Dados_Cliente!$B$7,C204)</f>
        <v>1300</v>
      </c>
      <c r="D205" s="2">
        <f>IF($A205&lt;=Dados_Cliente!$B$8*12,D204*(1+Dados_Cliente!$B$24)+Dados_Cliente!$B$7,D204)</f>
        <v>1366.26290359263</v>
      </c>
      <c r="E205" s="2">
        <f>IF($A205&lt;=Dados_Cliente!$B$8*12,E204*(1+Dados_Cliente!$B$27)+Dados_Cliente!$B$7,E204)</f>
        <v>1397.58801631734</v>
      </c>
      <c r="F205" s="2">
        <f>IF($A205&lt;=Dados_Cliente!$B$8*12,F204*(1+Dados_Cliente!$B$28)+Dados_Cliente!$B$7,F204)</f>
        <v>1334.50937803276</v>
      </c>
    </row>
    <row r="206" spans="1:6">
      <c r="A206">
        <f t="shared" si="6"/>
        <v>204</v>
      </c>
      <c r="B206">
        <f t="shared" si="7"/>
        <v>17</v>
      </c>
      <c r="C206" s="2">
        <f>IF($A206&lt;=Dados_Cliente!$B$8*12,C205+Dados_Cliente!$B$7,C205)</f>
        <v>1300</v>
      </c>
      <c r="D206" s="2">
        <f>IF($A206&lt;=Dados_Cliente!$B$8*12,D205*(1+Dados_Cliente!$B$24)+Dados_Cliente!$B$7,D205)</f>
        <v>1366.26290359263</v>
      </c>
      <c r="E206" s="2">
        <f>IF($A206&lt;=Dados_Cliente!$B$8*12,E205*(1+Dados_Cliente!$B$27)+Dados_Cliente!$B$7,E205)</f>
        <v>1397.58801631734</v>
      </c>
      <c r="F206" s="2">
        <f>IF($A206&lt;=Dados_Cliente!$B$8*12,F205*(1+Dados_Cliente!$B$28)+Dados_Cliente!$B$7,F205)</f>
        <v>1334.50937803276</v>
      </c>
    </row>
    <row r="207" spans="1:6">
      <c r="A207">
        <f t="shared" si="6"/>
        <v>205</v>
      </c>
      <c r="B207">
        <f t="shared" si="7"/>
        <v>17.0833333333333</v>
      </c>
      <c r="C207" s="2">
        <f>IF($A207&lt;=Dados_Cliente!$B$8*12,C206+Dados_Cliente!$B$7,C206)</f>
        <v>1300</v>
      </c>
      <c r="D207" s="2">
        <f>IF($A207&lt;=Dados_Cliente!$B$8*12,D206*(1+Dados_Cliente!$B$24)+Dados_Cliente!$B$7,D206)</f>
        <v>1366.26290359263</v>
      </c>
      <c r="E207" s="2">
        <f>IF($A207&lt;=Dados_Cliente!$B$8*12,E206*(1+Dados_Cliente!$B$27)+Dados_Cliente!$B$7,E206)</f>
        <v>1397.58801631734</v>
      </c>
      <c r="F207" s="2">
        <f>IF($A207&lt;=Dados_Cliente!$B$8*12,F206*(1+Dados_Cliente!$B$28)+Dados_Cliente!$B$7,F206)</f>
        <v>1334.50937803276</v>
      </c>
    </row>
    <row r="208" spans="1:6">
      <c r="A208">
        <f t="shared" si="6"/>
        <v>206</v>
      </c>
      <c r="B208">
        <f t="shared" si="7"/>
        <v>17.1666666666667</v>
      </c>
      <c r="C208" s="2">
        <f>IF($A208&lt;=Dados_Cliente!$B$8*12,C207+Dados_Cliente!$B$7,C207)</f>
        <v>1300</v>
      </c>
      <c r="D208" s="2">
        <f>IF($A208&lt;=Dados_Cliente!$B$8*12,D207*(1+Dados_Cliente!$B$24)+Dados_Cliente!$B$7,D207)</f>
        <v>1366.26290359263</v>
      </c>
      <c r="E208" s="2">
        <f>IF($A208&lt;=Dados_Cliente!$B$8*12,E207*(1+Dados_Cliente!$B$27)+Dados_Cliente!$B$7,E207)</f>
        <v>1397.58801631734</v>
      </c>
      <c r="F208" s="2">
        <f>IF($A208&lt;=Dados_Cliente!$B$8*12,F207*(1+Dados_Cliente!$B$28)+Dados_Cliente!$B$7,F207)</f>
        <v>1334.50937803276</v>
      </c>
    </row>
    <row r="209" spans="1:6">
      <c r="A209">
        <f t="shared" si="6"/>
        <v>207</v>
      </c>
      <c r="B209">
        <f t="shared" si="7"/>
        <v>17.25</v>
      </c>
      <c r="C209" s="2">
        <f>IF($A209&lt;=Dados_Cliente!$B$8*12,C208+Dados_Cliente!$B$7,C208)</f>
        <v>1300</v>
      </c>
      <c r="D209" s="2">
        <f>IF($A209&lt;=Dados_Cliente!$B$8*12,D208*(1+Dados_Cliente!$B$24)+Dados_Cliente!$B$7,D208)</f>
        <v>1366.26290359263</v>
      </c>
      <c r="E209" s="2">
        <f>IF($A209&lt;=Dados_Cliente!$B$8*12,E208*(1+Dados_Cliente!$B$27)+Dados_Cliente!$B$7,E208)</f>
        <v>1397.58801631734</v>
      </c>
      <c r="F209" s="2">
        <f>IF($A209&lt;=Dados_Cliente!$B$8*12,F208*(1+Dados_Cliente!$B$28)+Dados_Cliente!$B$7,F208)</f>
        <v>1334.50937803276</v>
      </c>
    </row>
    <row r="210" spans="1:6">
      <c r="A210">
        <f t="shared" si="6"/>
        <v>208</v>
      </c>
      <c r="B210">
        <f t="shared" si="7"/>
        <v>17.3333333333333</v>
      </c>
      <c r="C210" s="2">
        <f>IF($A210&lt;=Dados_Cliente!$B$8*12,C209+Dados_Cliente!$B$7,C209)</f>
        <v>1300</v>
      </c>
      <c r="D210" s="2">
        <f>IF($A210&lt;=Dados_Cliente!$B$8*12,D209*(1+Dados_Cliente!$B$24)+Dados_Cliente!$B$7,D209)</f>
        <v>1366.26290359263</v>
      </c>
      <c r="E210" s="2">
        <f>IF($A210&lt;=Dados_Cliente!$B$8*12,E209*(1+Dados_Cliente!$B$27)+Dados_Cliente!$B$7,E209)</f>
        <v>1397.58801631734</v>
      </c>
      <c r="F210" s="2">
        <f>IF($A210&lt;=Dados_Cliente!$B$8*12,F209*(1+Dados_Cliente!$B$28)+Dados_Cliente!$B$7,F209)</f>
        <v>1334.50937803276</v>
      </c>
    </row>
    <row r="211" spans="1:6">
      <c r="A211">
        <f t="shared" si="6"/>
        <v>209</v>
      </c>
      <c r="B211">
        <f t="shared" si="7"/>
        <v>17.4166666666667</v>
      </c>
      <c r="C211" s="2">
        <f>IF($A211&lt;=Dados_Cliente!$B$8*12,C210+Dados_Cliente!$B$7,C210)</f>
        <v>1300</v>
      </c>
      <c r="D211" s="2">
        <f>IF($A211&lt;=Dados_Cliente!$B$8*12,D210*(1+Dados_Cliente!$B$24)+Dados_Cliente!$B$7,D210)</f>
        <v>1366.26290359263</v>
      </c>
      <c r="E211" s="2">
        <f>IF($A211&lt;=Dados_Cliente!$B$8*12,E210*(1+Dados_Cliente!$B$27)+Dados_Cliente!$B$7,E210)</f>
        <v>1397.58801631734</v>
      </c>
      <c r="F211" s="2">
        <f>IF($A211&lt;=Dados_Cliente!$B$8*12,F210*(1+Dados_Cliente!$B$28)+Dados_Cliente!$B$7,F210)</f>
        <v>1334.50937803276</v>
      </c>
    </row>
    <row r="212" spans="1:6">
      <c r="A212">
        <f t="shared" si="6"/>
        <v>210</v>
      </c>
      <c r="B212">
        <f t="shared" si="7"/>
        <v>17.5</v>
      </c>
      <c r="C212" s="2">
        <f>IF($A212&lt;=Dados_Cliente!$B$8*12,C211+Dados_Cliente!$B$7,C211)</f>
        <v>1300</v>
      </c>
      <c r="D212" s="2">
        <f>IF($A212&lt;=Dados_Cliente!$B$8*12,D211*(1+Dados_Cliente!$B$24)+Dados_Cliente!$B$7,D211)</f>
        <v>1366.26290359263</v>
      </c>
      <c r="E212" s="2">
        <f>IF($A212&lt;=Dados_Cliente!$B$8*12,E211*(1+Dados_Cliente!$B$27)+Dados_Cliente!$B$7,E211)</f>
        <v>1397.58801631734</v>
      </c>
      <c r="F212" s="2">
        <f>IF($A212&lt;=Dados_Cliente!$B$8*12,F211*(1+Dados_Cliente!$B$28)+Dados_Cliente!$B$7,F211)</f>
        <v>1334.50937803276</v>
      </c>
    </row>
    <row r="213" spans="1:6">
      <c r="A213">
        <f t="shared" si="6"/>
        <v>211</v>
      </c>
      <c r="B213">
        <f t="shared" si="7"/>
        <v>17.5833333333333</v>
      </c>
      <c r="C213" s="2">
        <f>IF($A213&lt;=Dados_Cliente!$B$8*12,C212+Dados_Cliente!$B$7,C212)</f>
        <v>1300</v>
      </c>
      <c r="D213" s="2">
        <f>IF($A213&lt;=Dados_Cliente!$B$8*12,D212*(1+Dados_Cliente!$B$24)+Dados_Cliente!$B$7,D212)</f>
        <v>1366.26290359263</v>
      </c>
      <c r="E213" s="2">
        <f>IF($A213&lt;=Dados_Cliente!$B$8*12,E212*(1+Dados_Cliente!$B$27)+Dados_Cliente!$B$7,E212)</f>
        <v>1397.58801631734</v>
      </c>
      <c r="F213" s="2">
        <f>IF($A213&lt;=Dados_Cliente!$B$8*12,F212*(1+Dados_Cliente!$B$28)+Dados_Cliente!$B$7,F212)</f>
        <v>1334.50937803276</v>
      </c>
    </row>
    <row r="214" spans="1:6">
      <c r="A214">
        <f t="shared" si="6"/>
        <v>212</v>
      </c>
      <c r="B214">
        <f t="shared" si="7"/>
        <v>17.6666666666667</v>
      </c>
      <c r="C214" s="2">
        <f>IF($A214&lt;=Dados_Cliente!$B$8*12,C213+Dados_Cliente!$B$7,C213)</f>
        <v>1300</v>
      </c>
      <c r="D214" s="2">
        <f>IF($A214&lt;=Dados_Cliente!$B$8*12,D213*(1+Dados_Cliente!$B$24)+Dados_Cliente!$B$7,D213)</f>
        <v>1366.26290359263</v>
      </c>
      <c r="E214" s="2">
        <f>IF($A214&lt;=Dados_Cliente!$B$8*12,E213*(1+Dados_Cliente!$B$27)+Dados_Cliente!$B$7,E213)</f>
        <v>1397.58801631734</v>
      </c>
      <c r="F214" s="2">
        <f>IF($A214&lt;=Dados_Cliente!$B$8*12,F213*(1+Dados_Cliente!$B$28)+Dados_Cliente!$B$7,F213)</f>
        <v>1334.50937803276</v>
      </c>
    </row>
    <row r="215" spans="1:6">
      <c r="A215">
        <f t="shared" si="6"/>
        <v>213</v>
      </c>
      <c r="B215">
        <f t="shared" si="7"/>
        <v>17.75</v>
      </c>
      <c r="C215" s="2">
        <f>IF($A215&lt;=Dados_Cliente!$B$8*12,C214+Dados_Cliente!$B$7,C214)</f>
        <v>1300</v>
      </c>
      <c r="D215" s="2">
        <f>IF($A215&lt;=Dados_Cliente!$B$8*12,D214*(1+Dados_Cliente!$B$24)+Dados_Cliente!$B$7,D214)</f>
        <v>1366.26290359263</v>
      </c>
      <c r="E215" s="2">
        <f>IF($A215&lt;=Dados_Cliente!$B$8*12,E214*(1+Dados_Cliente!$B$27)+Dados_Cliente!$B$7,E214)</f>
        <v>1397.58801631734</v>
      </c>
      <c r="F215" s="2">
        <f>IF($A215&lt;=Dados_Cliente!$B$8*12,F214*(1+Dados_Cliente!$B$28)+Dados_Cliente!$B$7,F214)</f>
        <v>1334.50937803276</v>
      </c>
    </row>
    <row r="216" spans="1:6">
      <c r="A216">
        <f t="shared" si="6"/>
        <v>214</v>
      </c>
      <c r="B216">
        <f t="shared" si="7"/>
        <v>17.8333333333333</v>
      </c>
      <c r="C216" s="2">
        <f>IF($A216&lt;=Dados_Cliente!$B$8*12,C215+Dados_Cliente!$B$7,C215)</f>
        <v>1300</v>
      </c>
      <c r="D216" s="2">
        <f>IF($A216&lt;=Dados_Cliente!$B$8*12,D215*(1+Dados_Cliente!$B$24)+Dados_Cliente!$B$7,D215)</f>
        <v>1366.26290359263</v>
      </c>
      <c r="E216" s="2">
        <f>IF($A216&lt;=Dados_Cliente!$B$8*12,E215*(1+Dados_Cliente!$B$27)+Dados_Cliente!$B$7,E215)</f>
        <v>1397.58801631734</v>
      </c>
      <c r="F216" s="2">
        <f>IF($A216&lt;=Dados_Cliente!$B$8*12,F215*(1+Dados_Cliente!$B$28)+Dados_Cliente!$B$7,F215)</f>
        <v>1334.50937803276</v>
      </c>
    </row>
    <row r="217" spans="1:6">
      <c r="A217">
        <f t="shared" si="6"/>
        <v>215</v>
      </c>
      <c r="B217">
        <f t="shared" si="7"/>
        <v>17.9166666666667</v>
      </c>
      <c r="C217" s="2">
        <f>IF($A217&lt;=Dados_Cliente!$B$8*12,C216+Dados_Cliente!$B$7,C216)</f>
        <v>1300</v>
      </c>
      <c r="D217" s="2">
        <f>IF($A217&lt;=Dados_Cliente!$B$8*12,D216*(1+Dados_Cliente!$B$24)+Dados_Cliente!$B$7,D216)</f>
        <v>1366.26290359263</v>
      </c>
      <c r="E217" s="2">
        <f>IF($A217&lt;=Dados_Cliente!$B$8*12,E216*(1+Dados_Cliente!$B$27)+Dados_Cliente!$B$7,E216)</f>
        <v>1397.58801631734</v>
      </c>
      <c r="F217" s="2">
        <f>IF($A217&lt;=Dados_Cliente!$B$8*12,F216*(1+Dados_Cliente!$B$28)+Dados_Cliente!$B$7,F216)</f>
        <v>1334.50937803276</v>
      </c>
    </row>
    <row r="218" spans="1:6">
      <c r="A218">
        <f t="shared" si="6"/>
        <v>216</v>
      </c>
      <c r="B218">
        <f t="shared" si="7"/>
        <v>18</v>
      </c>
      <c r="C218" s="2">
        <f>IF($A218&lt;=Dados_Cliente!$B$8*12,C217+Dados_Cliente!$B$7,C217)</f>
        <v>1300</v>
      </c>
      <c r="D218" s="2">
        <f>IF($A218&lt;=Dados_Cliente!$B$8*12,D217*(1+Dados_Cliente!$B$24)+Dados_Cliente!$B$7,D217)</f>
        <v>1366.26290359263</v>
      </c>
      <c r="E218" s="2">
        <f>IF($A218&lt;=Dados_Cliente!$B$8*12,E217*(1+Dados_Cliente!$B$27)+Dados_Cliente!$B$7,E217)</f>
        <v>1397.58801631734</v>
      </c>
      <c r="F218" s="2">
        <f>IF($A218&lt;=Dados_Cliente!$B$8*12,F217*(1+Dados_Cliente!$B$28)+Dados_Cliente!$B$7,F217)</f>
        <v>1334.50937803276</v>
      </c>
    </row>
    <row r="219" spans="1:6">
      <c r="A219">
        <f t="shared" si="6"/>
        <v>217</v>
      </c>
      <c r="B219">
        <f t="shared" si="7"/>
        <v>18.0833333333333</v>
      </c>
      <c r="C219" s="2">
        <f>IF($A219&lt;=Dados_Cliente!$B$8*12,C218+Dados_Cliente!$B$7,C218)</f>
        <v>1300</v>
      </c>
      <c r="D219" s="2">
        <f>IF($A219&lt;=Dados_Cliente!$B$8*12,D218*(1+Dados_Cliente!$B$24)+Dados_Cliente!$B$7,D218)</f>
        <v>1366.26290359263</v>
      </c>
      <c r="E219" s="2">
        <f>IF($A219&lt;=Dados_Cliente!$B$8*12,E218*(1+Dados_Cliente!$B$27)+Dados_Cliente!$B$7,E218)</f>
        <v>1397.58801631734</v>
      </c>
      <c r="F219" s="2">
        <f>IF($A219&lt;=Dados_Cliente!$B$8*12,F218*(1+Dados_Cliente!$B$28)+Dados_Cliente!$B$7,F218)</f>
        <v>1334.50937803276</v>
      </c>
    </row>
    <row r="220" spans="1:6">
      <c r="A220">
        <f t="shared" si="6"/>
        <v>218</v>
      </c>
      <c r="B220">
        <f t="shared" si="7"/>
        <v>18.1666666666667</v>
      </c>
      <c r="C220" s="2">
        <f>IF($A220&lt;=Dados_Cliente!$B$8*12,C219+Dados_Cliente!$B$7,C219)</f>
        <v>1300</v>
      </c>
      <c r="D220" s="2">
        <f>IF($A220&lt;=Dados_Cliente!$B$8*12,D219*(1+Dados_Cliente!$B$24)+Dados_Cliente!$B$7,D219)</f>
        <v>1366.26290359263</v>
      </c>
      <c r="E220" s="2">
        <f>IF($A220&lt;=Dados_Cliente!$B$8*12,E219*(1+Dados_Cliente!$B$27)+Dados_Cliente!$B$7,E219)</f>
        <v>1397.58801631734</v>
      </c>
      <c r="F220" s="2">
        <f>IF($A220&lt;=Dados_Cliente!$B$8*12,F219*(1+Dados_Cliente!$B$28)+Dados_Cliente!$B$7,F219)</f>
        <v>1334.50937803276</v>
      </c>
    </row>
    <row r="221" spans="1:6">
      <c r="A221">
        <f t="shared" si="6"/>
        <v>219</v>
      </c>
      <c r="B221">
        <f t="shared" si="7"/>
        <v>18.25</v>
      </c>
      <c r="C221" s="2">
        <f>IF($A221&lt;=Dados_Cliente!$B$8*12,C220+Dados_Cliente!$B$7,C220)</f>
        <v>1300</v>
      </c>
      <c r="D221" s="2">
        <f>IF($A221&lt;=Dados_Cliente!$B$8*12,D220*(1+Dados_Cliente!$B$24)+Dados_Cliente!$B$7,D220)</f>
        <v>1366.26290359263</v>
      </c>
      <c r="E221" s="2">
        <f>IF($A221&lt;=Dados_Cliente!$B$8*12,E220*(1+Dados_Cliente!$B$27)+Dados_Cliente!$B$7,E220)</f>
        <v>1397.58801631734</v>
      </c>
      <c r="F221" s="2">
        <f>IF($A221&lt;=Dados_Cliente!$B$8*12,F220*(1+Dados_Cliente!$B$28)+Dados_Cliente!$B$7,F220)</f>
        <v>1334.50937803276</v>
      </c>
    </row>
    <row r="222" spans="1:6">
      <c r="A222">
        <f t="shared" si="6"/>
        <v>220</v>
      </c>
      <c r="B222">
        <f t="shared" si="7"/>
        <v>18.3333333333333</v>
      </c>
      <c r="C222" s="2">
        <f>IF($A222&lt;=Dados_Cliente!$B$8*12,C221+Dados_Cliente!$B$7,C221)</f>
        <v>1300</v>
      </c>
      <c r="D222" s="2">
        <f>IF($A222&lt;=Dados_Cliente!$B$8*12,D221*(1+Dados_Cliente!$B$24)+Dados_Cliente!$B$7,D221)</f>
        <v>1366.26290359263</v>
      </c>
      <c r="E222" s="2">
        <f>IF($A222&lt;=Dados_Cliente!$B$8*12,E221*(1+Dados_Cliente!$B$27)+Dados_Cliente!$B$7,E221)</f>
        <v>1397.58801631734</v>
      </c>
      <c r="F222" s="2">
        <f>IF($A222&lt;=Dados_Cliente!$B$8*12,F221*(1+Dados_Cliente!$B$28)+Dados_Cliente!$B$7,F221)</f>
        <v>1334.50937803276</v>
      </c>
    </row>
    <row r="223" spans="1:6">
      <c r="A223">
        <f t="shared" si="6"/>
        <v>221</v>
      </c>
      <c r="B223">
        <f t="shared" si="7"/>
        <v>18.4166666666667</v>
      </c>
      <c r="C223" s="2">
        <f>IF($A223&lt;=Dados_Cliente!$B$8*12,C222+Dados_Cliente!$B$7,C222)</f>
        <v>1300</v>
      </c>
      <c r="D223" s="2">
        <f>IF($A223&lt;=Dados_Cliente!$B$8*12,D222*(1+Dados_Cliente!$B$24)+Dados_Cliente!$B$7,D222)</f>
        <v>1366.26290359263</v>
      </c>
      <c r="E223" s="2">
        <f>IF($A223&lt;=Dados_Cliente!$B$8*12,E222*(1+Dados_Cliente!$B$27)+Dados_Cliente!$B$7,E222)</f>
        <v>1397.58801631734</v>
      </c>
      <c r="F223" s="2">
        <f>IF($A223&lt;=Dados_Cliente!$B$8*12,F222*(1+Dados_Cliente!$B$28)+Dados_Cliente!$B$7,F222)</f>
        <v>1334.50937803276</v>
      </c>
    </row>
    <row r="224" spans="1:6">
      <c r="A224">
        <f t="shared" si="6"/>
        <v>222</v>
      </c>
      <c r="B224">
        <f t="shared" si="7"/>
        <v>18.5</v>
      </c>
      <c r="C224" s="2">
        <f>IF($A224&lt;=Dados_Cliente!$B$8*12,C223+Dados_Cliente!$B$7,C223)</f>
        <v>1300</v>
      </c>
      <c r="D224" s="2">
        <f>IF($A224&lt;=Dados_Cliente!$B$8*12,D223*(1+Dados_Cliente!$B$24)+Dados_Cliente!$B$7,D223)</f>
        <v>1366.26290359263</v>
      </c>
      <c r="E224" s="2">
        <f>IF($A224&lt;=Dados_Cliente!$B$8*12,E223*(1+Dados_Cliente!$B$27)+Dados_Cliente!$B$7,E223)</f>
        <v>1397.58801631734</v>
      </c>
      <c r="F224" s="2">
        <f>IF($A224&lt;=Dados_Cliente!$B$8*12,F223*(1+Dados_Cliente!$B$28)+Dados_Cliente!$B$7,F223)</f>
        <v>1334.50937803276</v>
      </c>
    </row>
    <row r="225" spans="1:6">
      <c r="A225">
        <f t="shared" si="6"/>
        <v>223</v>
      </c>
      <c r="B225">
        <f t="shared" si="7"/>
        <v>18.5833333333333</v>
      </c>
      <c r="C225" s="2">
        <f>IF($A225&lt;=Dados_Cliente!$B$8*12,C224+Dados_Cliente!$B$7,C224)</f>
        <v>1300</v>
      </c>
      <c r="D225" s="2">
        <f>IF($A225&lt;=Dados_Cliente!$B$8*12,D224*(1+Dados_Cliente!$B$24)+Dados_Cliente!$B$7,D224)</f>
        <v>1366.26290359263</v>
      </c>
      <c r="E225" s="2">
        <f>IF($A225&lt;=Dados_Cliente!$B$8*12,E224*(1+Dados_Cliente!$B$27)+Dados_Cliente!$B$7,E224)</f>
        <v>1397.58801631734</v>
      </c>
      <c r="F225" s="2">
        <f>IF($A225&lt;=Dados_Cliente!$B$8*12,F224*(1+Dados_Cliente!$B$28)+Dados_Cliente!$B$7,F224)</f>
        <v>1334.50937803276</v>
      </c>
    </row>
    <row r="226" spans="1:6">
      <c r="A226">
        <f t="shared" si="6"/>
        <v>224</v>
      </c>
      <c r="B226">
        <f t="shared" si="7"/>
        <v>18.6666666666667</v>
      </c>
      <c r="C226" s="2">
        <f>IF($A226&lt;=Dados_Cliente!$B$8*12,C225+Dados_Cliente!$B$7,C225)</f>
        <v>1300</v>
      </c>
      <c r="D226" s="2">
        <f>IF($A226&lt;=Dados_Cliente!$B$8*12,D225*(1+Dados_Cliente!$B$24)+Dados_Cliente!$B$7,D225)</f>
        <v>1366.26290359263</v>
      </c>
      <c r="E226" s="2">
        <f>IF($A226&lt;=Dados_Cliente!$B$8*12,E225*(1+Dados_Cliente!$B$27)+Dados_Cliente!$B$7,E225)</f>
        <v>1397.58801631734</v>
      </c>
      <c r="F226" s="2">
        <f>IF($A226&lt;=Dados_Cliente!$B$8*12,F225*(1+Dados_Cliente!$B$28)+Dados_Cliente!$B$7,F225)</f>
        <v>1334.50937803276</v>
      </c>
    </row>
    <row r="227" spans="1:6">
      <c r="A227">
        <f t="shared" si="6"/>
        <v>225</v>
      </c>
      <c r="B227">
        <f t="shared" si="7"/>
        <v>18.75</v>
      </c>
      <c r="C227" s="2">
        <f>IF($A227&lt;=Dados_Cliente!$B$8*12,C226+Dados_Cliente!$B$7,C226)</f>
        <v>1300</v>
      </c>
      <c r="D227" s="2">
        <f>IF($A227&lt;=Dados_Cliente!$B$8*12,D226*(1+Dados_Cliente!$B$24)+Dados_Cliente!$B$7,D226)</f>
        <v>1366.26290359263</v>
      </c>
      <c r="E227" s="2">
        <f>IF($A227&lt;=Dados_Cliente!$B$8*12,E226*(1+Dados_Cliente!$B$27)+Dados_Cliente!$B$7,E226)</f>
        <v>1397.58801631734</v>
      </c>
      <c r="F227" s="2">
        <f>IF($A227&lt;=Dados_Cliente!$B$8*12,F226*(1+Dados_Cliente!$B$28)+Dados_Cliente!$B$7,F226)</f>
        <v>1334.50937803276</v>
      </c>
    </row>
    <row r="228" spans="1:6">
      <c r="A228">
        <f t="shared" si="6"/>
        <v>226</v>
      </c>
      <c r="B228">
        <f t="shared" si="7"/>
        <v>18.8333333333333</v>
      </c>
      <c r="C228" s="2">
        <f>IF($A228&lt;=Dados_Cliente!$B$8*12,C227+Dados_Cliente!$B$7,C227)</f>
        <v>1300</v>
      </c>
      <c r="D228" s="2">
        <f>IF($A228&lt;=Dados_Cliente!$B$8*12,D227*(1+Dados_Cliente!$B$24)+Dados_Cliente!$B$7,D227)</f>
        <v>1366.26290359263</v>
      </c>
      <c r="E228" s="2">
        <f>IF($A228&lt;=Dados_Cliente!$B$8*12,E227*(1+Dados_Cliente!$B$27)+Dados_Cliente!$B$7,E227)</f>
        <v>1397.58801631734</v>
      </c>
      <c r="F228" s="2">
        <f>IF($A228&lt;=Dados_Cliente!$B$8*12,F227*(1+Dados_Cliente!$B$28)+Dados_Cliente!$B$7,F227)</f>
        <v>1334.50937803276</v>
      </c>
    </row>
    <row r="229" spans="1:6">
      <c r="A229">
        <f t="shared" si="6"/>
        <v>227</v>
      </c>
      <c r="B229">
        <f t="shared" si="7"/>
        <v>18.9166666666667</v>
      </c>
      <c r="C229" s="2">
        <f>IF($A229&lt;=Dados_Cliente!$B$8*12,C228+Dados_Cliente!$B$7,C228)</f>
        <v>1300</v>
      </c>
      <c r="D229" s="2">
        <f>IF($A229&lt;=Dados_Cliente!$B$8*12,D228*(1+Dados_Cliente!$B$24)+Dados_Cliente!$B$7,D228)</f>
        <v>1366.26290359263</v>
      </c>
      <c r="E229" s="2">
        <f>IF($A229&lt;=Dados_Cliente!$B$8*12,E228*(1+Dados_Cliente!$B$27)+Dados_Cliente!$B$7,E228)</f>
        <v>1397.58801631734</v>
      </c>
      <c r="F229" s="2">
        <f>IF($A229&lt;=Dados_Cliente!$B$8*12,F228*(1+Dados_Cliente!$B$28)+Dados_Cliente!$B$7,F228)</f>
        <v>1334.50937803276</v>
      </c>
    </row>
    <row r="230" spans="1:6">
      <c r="A230">
        <f t="shared" si="6"/>
        <v>228</v>
      </c>
      <c r="B230">
        <f t="shared" si="7"/>
        <v>19</v>
      </c>
      <c r="C230" s="2">
        <f>IF($A230&lt;=Dados_Cliente!$B$8*12,C229+Dados_Cliente!$B$7,C229)</f>
        <v>1300</v>
      </c>
      <c r="D230" s="2">
        <f>IF($A230&lt;=Dados_Cliente!$B$8*12,D229*(1+Dados_Cliente!$B$24)+Dados_Cliente!$B$7,D229)</f>
        <v>1366.26290359263</v>
      </c>
      <c r="E230" s="2">
        <f>IF($A230&lt;=Dados_Cliente!$B$8*12,E229*(1+Dados_Cliente!$B$27)+Dados_Cliente!$B$7,E229)</f>
        <v>1397.58801631734</v>
      </c>
      <c r="F230" s="2">
        <f>IF($A230&lt;=Dados_Cliente!$B$8*12,F229*(1+Dados_Cliente!$B$28)+Dados_Cliente!$B$7,F229)</f>
        <v>1334.50937803276</v>
      </c>
    </row>
    <row r="231" spans="1:6">
      <c r="A231">
        <f t="shared" si="6"/>
        <v>229</v>
      </c>
      <c r="B231">
        <f t="shared" si="7"/>
        <v>19.0833333333333</v>
      </c>
      <c r="C231" s="2">
        <f>IF($A231&lt;=Dados_Cliente!$B$8*12,C230+Dados_Cliente!$B$7,C230)</f>
        <v>1300</v>
      </c>
      <c r="D231" s="2">
        <f>IF($A231&lt;=Dados_Cliente!$B$8*12,D230*(1+Dados_Cliente!$B$24)+Dados_Cliente!$B$7,D230)</f>
        <v>1366.26290359263</v>
      </c>
      <c r="E231" s="2">
        <f>IF($A231&lt;=Dados_Cliente!$B$8*12,E230*(1+Dados_Cliente!$B$27)+Dados_Cliente!$B$7,E230)</f>
        <v>1397.58801631734</v>
      </c>
      <c r="F231" s="2">
        <f>IF($A231&lt;=Dados_Cliente!$B$8*12,F230*(1+Dados_Cliente!$B$28)+Dados_Cliente!$B$7,F230)</f>
        <v>1334.50937803276</v>
      </c>
    </row>
    <row r="232" spans="1:6">
      <c r="A232">
        <f t="shared" si="6"/>
        <v>230</v>
      </c>
      <c r="B232">
        <f t="shared" si="7"/>
        <v>19.1666666666667</v>
      </c>
      <c r="C232" s="2">
        <f>IF($A232&lt;=Dados_Cliente!$B$8*12,C231+Dados_Cliente!$B$7,C231)</f>
        <v>1300</v>
      </c>
      <c r="D232" s="2">
        <f>IF($A232&lt;=Dados_Cliente!$B$8*12,D231*(1+Dados_Cliente!$B$24)+Dados_Cliente!$B$7,D231)</f>
        <v>1366.26290359263</v>
      </c>
      <c r="E232" s="2">
        <f>IF($A232&lt;=Dados_Cliente!$B$8*12,E231*(1+Dados_Cliente!$B$27)+Dados_Cliente!$B$7,E231)</f>
        <v>1397.58801631734</v>
      </c>
      <c r="F232" s="2">
        <f>IF($A232&lt;=Dados_Cliente!$B$8*12,F231*(1+Dados_Cliente!$B$28)+Dados_Cliente!$B$7,F231)</f>
        <v>1334.50937803276</v>
      </c>
    </row>
    <row r="233" spans="1:6">
      <c r="A233">
        <f t="shared" si="6"/>
        <v>231</v>
      </c>
      <c r="B233">
        <f t="shared" si="7"/>
        <v>19.25</v>
      </c>
      <c r="C233" s="2">
        <f>IF($A233&lt;=Dados_Cliente!$B$8*12,C232+Dados_Cliente!$B$7,C232)</f>
        <v>1300</v>
      </c>
      <c r="D233" s="2">
        <f>IF($A233&lt;=Dados_Cliente!$B$8*12,D232*(1+Dados_Cliente!$B$24)+Dados_Cliente!$B$7,D232)</f>
        <v>1366.26290359263</v>
      </c>
      <c r="E233" s="2">
        <f>IF($A233&lt;=Dados_Cliente!$B$8*12,E232*(1+Dados_Cliente!$B$27)+Dados_Cliente!$B$7,E232)</f>
        <v>1397.58801631734</v>
      </c>
      <c r="F233" s="2">
        <f>IF($A233&lt;=Dados_Cliente!$B$8*12,F232*(1+Dados_Cliente!$B$28)+Dados_Cliente!$B$7,F232)</f>
        <v>1334.50937803276</v>
      </c>
    </row>
    <row r="234" spans="1:6">
      <c r="A234">
        <f t="shared" si="6"/>
        <v>232</v>
      </c>
      <c r="B234">
        <f t="shared" si="7"/>
        <v>19.3333333333333</v>
      </c>
      <c r="C234" s="2">
        <f>IF($A234&lt;=Dados_Cliente!$B$8*12,C233+Dados_Cliente!$B$7,C233)</f>
        <v>1300</v>
      </c>
      <c r="D234" s="2">
        <f>IF($A234&lt;=Dados_Cliente!$B$8*12,D233*(1+Dados_Cliente!$B$24)+Dados_Cliente!$B$7,D233)</f>
        <v>1366.26290359263</v>
      </c>
      <c r="E234" s="2">
        <f>IF($A234&lt;=Dados_Cliente!$B$8*12,E233*(1+Dados_Cliente!$B$27)+Dados_Cliente!$B$7,E233)</f>
        <v>1397.58801631734</v>
      </c>
      <c r="F234" s="2">
        <f>IF($A234&lt;=Dados_Cliente!$B$8*12,F233*(1+Dados_Cliente!$B$28)+Dados_Cliente!$B$7,F233)</f>
        <v>1334.50937803276</v>
      </c>
    </row>
    <row r="235" spans="1:6">
      <c r="A235">
        <f t="shared" si="6"/>
        <v>233</v>
      </c>
      <c r="B235">
        <f t="shared" si="7"/>
        <v>19.4166666666667</v>
      </c>
      <c r="C235" s="2">
        <f>IF($A235&lt;=Dados_Cliente!$B$8*12,C234+Dados_Cliente!$B$7,C234)</f>
        <v>1300</v>
      </c>
      <c r="D235" s="2">
        <f>IF($A235&lt;=Dados_Cliente!$B$8*12,D234*(1+Dados_Cliente!$B$24)+Dados_Cliente!$B$7,D234)</f>
        <v>1366.26290359263</v>
      </c>
      <c r="E235" s="2">
        <f>IF($A235&lt;=Dados_Cliente!$B$8*12,E234*(1+Dados_Cliente!$B$27)+Dados_Cliente!$B$7,E234)</f>
        <v>1397.58801631734</v>
      </c>
      <c r="F235" s="2">
        <f>IF($A235&lt;=Dados_Cliente!$B$8*12,F234*(1+Dados_Cliente!$B$28)+Dados_Cliente!$B$7,F234)</f>
        <v>1334.50937803276</v>
      </c>
    </row>
    <row r="236" spans="1:6">
      <c r="A236">
        <f t="shared" si="6"/>
        <v>234</v>
      </c>
      <c r="B236">
        <f t="shared" si="7"/>
        <v>19.5</v>
      </c>
      <c r="C236" s="2">
        <f>IF($A236&lt;=Dados_Cliente!$B$8*12,C235+Dados_Cliente!$B$7,C235)</f>
        <v>1300</v>
      </c>
      <c r="D236" s="2">
        <f>IF($A236&lt;=Dados_Cliente!$B$8*12,D235*(1+Dados_Cliente!$B$24)+Dados_Cliente!$B$7,D235)</f>
        <v>1366.26290359263</v>
      </c>
      <c r="E236" s="2">
        <f>IF($A236&lt;=Dados_Cliente!$B$8*12,E235*(1+Dados_Cliente!$B$27)+Dados_Cliente!$B$7,E235)</f>
        <v>1397.58801631734</v>
      </c>
      <c r="F236" s="2">
        <f>IF($A236&lt;=Dados_Cliente!$B$8*12,F235*(1+Dados_Cliente!$B$28)+Dados_Cliente!$B$7,F235)</f>
        <v>1334.50937803276</v>
      </c>
    </row>
    <row r="237" spans="1:6">
      <c r="A237">
        <f t="shared" si="6"/>
        <v>235</v>
      </c>
      <c r="B237">
        <f t="shared" si="7"/>
        <v>19.5833333333333</v>
      </c>
      <c r="C237" s="2">
        <f>IF($A237&lt;=Dados_Cliente!$B$8*12,C236+Dados_Cliente!$B$7,C236)</f>
        <v>1300</v>
      </c>
      <c r="D237" s="2">
        <f>IF($A237&lt;=Dados_Cliente!$B$8*12,D236*(1+Dados_Cliente!$B$24)+Dados_Cliente!$B$7,D236)</f>
        <v>1366.26290359263</v>
      </c>
      <c r="E237" s="2">
        <f>IF($A237&lt;=Dados_Cliente!$B$8*12,E236*(1+Dados_Cliente!$B$27)+Dados_Cliente!$B$7,E236)</f>
        <v>1397.58801631734</v>
      </c>
      <c r="F237" s="2">
        <f>IF($A237&lt;=Dados_Cliente!$B$8*12,F236*(1+Dados_Cliente!$B$28)+Dados_Cliente!$B$7,F236)</f>
        <v>1334.50937803276</v>
      </c>
    </row>
    <row r="238" spans="1:6">
      <c r="A238">
        <f t="shared" si="6"/>
        <v>236</v>
      </c>
      <c r="B238">
        <f t="shared" si="7"/>
        <v>19.6666666666667</v>
      </c>
      <c r="C238" s="2">
        <f>IF($A238&lt;=Dados_Cliente!$B$8*12,C237+Dados_Cliente!$B$7,C237)</f>
        <v>1300</v>
      </c>
      <c r="D238" s="2">
        <f>IF($A238&lt;=Dados_Cliente!$B$8*12,D237*(1+Dados_Cliente!$B$24)+Dados_Cliente!$B$7,D237)</f>
        <v>1366.26290359263</v>
      </c>
      <c r="E238" s="2">
        <f>IF($A238&lt;=Dados_Cliente!$B$8*12,E237*(1+Dados_Cliente!$B$27)+Dados_Cliente!$B$7,E237)</f>
        <v>1397.58801631734</v>
      </c>
      <c r="F238" s="2">
        <f>IF($A238&lt;=Dados_Cliente!$B$8*12,F237*(1+Dados_Cliente!$B$28)+Dados_Cliente!$B$7,F237)</f>
        <v>1334.50937803276</v>
      </c>
    </row>
    <row r="239" spans="1:6">
      <c r="A239">
        <f t="shared" si="6"/>
        <v>237</v>
      </c>
      <c r="B239">
        <f t="shared" si="7"/>
        <v>19.75</v>
      </c>
      <c r="C239" s="2">
        <f>IF($A239&lt;=Dados_Cliente!$B$8*12,C238+Dados_Cliente!$B$7,C238)</f>
        <v>1300</v>
      </c>
      <c r="D239" s="2">
        <f>IF($A239&lt;=Dados_Cliente!$B$8*12,D238*(1+Dados_Cliente!$B$24)+Dados_Cliente!$B$7,D238)</f>
        <v>1366.26290359263</v>
      </c>
      <c r="E239" s="2">
        <f>IF($A239&lt;=Dados_Cliente!$B$8*12,E238*(1+Dados_Cliente!$B$27)+Dados_Cliente!$B$7,E238)</f>
        <v>1397.58801631734</v>
      </c>
      <c r="F239" s="2">
        <f>IF($A239&lt;=Dados_Cliente!$B$8*12,F238*(1+Dados_Cliente!$B$28)+Dados_Cliente!$B$7,F238)</f>
        <v>1334.50937803276</v>
      </c>
    </row>
    <row r="240" spans="1:6">
      <c r="A240">
        <f t="shared" si="6"/>
        <v>238</v>
      </c>
      <c r="B240">
        <f t="shared" si="7"/>
        <v>19.8333333333333</v>
      </c>
      <c r="C240" s="2">
        <f>IF($A240&lt;=Dados_Cliente!$B$8*12,C239+Dados_Cliente!$B$7,C239)</f>
        <v>1300</v>
      </c>
      <c r="D240" s="2">
        <f>IF($A240&lt;=Dados_Cliente!$B$8*12,D239*(1+Dados_Cliente!$B$24)+Dados_Cliente!$B$7,D239)</f>
        <v>1366.26290359263</v>
      </c>
      <c r="E240" s="2">
        <f>IF($A240&lt;=Dados_Cliente!$B$8*12,E239*(1+Dados_Cliente!$B$27)+Dados_Cliente!$B$7,E239)</f>
        <v>1397.58801631734</v>
      </c>
      <c r="F240" s="2">
        <f>IF($A240&lt;=Dados_Cliente!$B$8*12,F239*(1+Dados_Cliente!$B$28)+Dados_Cliente!$B$7,F239)</f>
        <v>1334.50937803276</v>
      </c>
    </row>
    <row r="241" spans="1:6">
      <c r="A241">
        <f t="shared" si="6"/>
        <v>239</v>
      </c>
      <c r="B241">
        <f t="shared" si="7"/>
        <v>19.9166666666667</v>
      </c>
      <c r="C241" s="2">
        <f>IF($A241&lt;=Dados_Cliente!$B$8*12,C240+Dados_Cliente!$B$7,C240)</f>
        <v>1300</v>
      </c>
      <c r="D241" s="2">
        <f>IF($A241&lt;=Dados_Cliente!$B$8*12,D240*(1+Dados_Cliente!$B$24)+Dados_Cliente!$B$7,D240)</f>
        <v>1366.26290359263</v>
      </c>
      <c r="E241" s="2">
        <f>IF($A241&lt;=Dados_Cliente!$B$8*12,E240*(1+Dados_Cliente!$B$27)+Dados_Cliente!$B$7,E240)</f>
        <v>1397.58801631734</v>
      </c>
      <c r="F241" s="2">
        <f>IF($A241&lt;=Dados_Cliente!$B$8*12,F240*(1+Dados_Cliente!$B$28)+Dados_Cliente!$B$7,F240)</f>
        <v>1334.50937803276</v>
      </c>
    </row>
    <row r="242" spans="1:6">
      <c r="A242">
        <f t="shared" si="6"/>
        <v>240</v>
      </c>
      <c r="B242">
        <f t="shared" si="7"/>
        <v>20</v>
      </c>
      <c r="C242" s="2">
        <f>IF($A242&lt;=Dados_Cliente!$B$8*12,C241+Dados_Cliente!$B$7,C241)</f>
        <v>1300</v>
      </c>
      <c r="D242" s="2">
        <f>IF($A242&lt;=Dados_Cliente!$B$8*12,D241*(1+Dados_Cliente!$B$24)+Dados_Cliente!$B$7,D241)</f>
        <v>1366.26290359263</v>
      </c>
      <c r="E242" s="2">
        <f>IF($A242&lt;=Dados_Cliente!$B$8*12,E241*(1+Dados_Cliente!$B$27)+Dados_Cliente!$B$7,E241)</f>
        <v>1397.58801631734</v>
      </c>
      <c r="F242" s="2">
        <f>IF($A242&lt;=Dados_Cliente!$B$8*12,F241*(1+Dados_Cliente!$B$28)+Dados_Cliente!$B$7,F241)</f>
        <v>1334.50937803276</v>
      </c>
    </row>
    <row r="243" spans="1:6">
      <c r="A243">
        <f t="shared" si="6"/>
        <v>241</v>
      </c>
      <c r="B243">
        <f t="shared" si="7"/>
        <v>20.0833333333333</v>
      </c>
      <c r="C243" s="2">
        <f>IF($A243&lt;=Dados_Cliente!$B$8*12,C242+Dados_Cliente!$B$7,C242)</f>
        <v>1300</v>
      </c>
      <c r="D243" s="2">
        <f>IF($A243&lt;=Dados_Cliente!$B$8*12,D242*(1+Dados_Cliente!$B$24)+Dados_Cliente!$B$7,D242)</f>
        <v>1366.26290359263</v>
      </c>
      <c r="E243" s="2">
        <f>IF($A243&lt;=Dados_Cliente!$B$8*12,E242*(1+Dados_Cliente!$B$27)+Dados_Cliente!$B$7,E242)</f>
        <v>1397.58801631734</v>
      </c>
      <c r="F243" s="2">
        <f>IF($A243&lt;=Dados_Cliente!$B$8*12,F242*(1+Dados_Cliente!$B$28)+Dados_Cliente!$B$7,F242)</f>
        <v>1334.50937803276</v>
      </c>
    </row>
    <row r="244" spans="1:6">
      <c r="A244">
        <f t="shared" si="6"/>
        <v>242</v>
      </c>
      <c r="B244">
        <f t="shared" si="7"/>
        <v>20.1666666666667</v>
      </c>
      <c r="C244" s="2">
        <f>IF($A244&lt;=Dados_Cliente!$B$8*12,C243+Dados_Cliente!$B$7,C243)</f>
        <v>1300</v>
      </c>
      <c r="D244" s="2">
        <f>IF($A244&lt;=Dados_Cliente!$B$8*12,D243*(1+Dados_Cliente!$B$24)+Dados_Cliente!$B$7,D243)</f>
        <v>1366.26290359263</v>
      </c>
      <c r="E244" s="2">
        <f>IF($A244&lt;=Dados_Cliente!$B$8*12,E243*(1+Dados_Cliente!$B$27)+Dados_Cliente!$B$7,E243)</f>
        <v>1397.58801631734</v>
      </c>
      <c r="F244" s="2">
        <f>IF($A244&lt;=Dados_Cliente!$B$8*12,F243*(1+Dados_Cliente!$B$28)+Dados_Cliente!$B$7,F243)</f>
        <v>1334.50937803276</v>
      </c>
    </row>
    <row r="245" spans="1:6">
      <c r="A245">
        <f t="shared" si="6"/>
        <v>243</v>
      </c>
      <c r="B245">
        <f t="shared" si="7"/>
        <v>20.25</v>
      </c>
      <c r="C245" s="2">
        <f>IF($A245&lt;=Dados_Cliente!$B$8*12,C244+Dados_Cliente!$B$7,C244)</f>
        <v>1300</v>
      </c>
      <c r="D245" s="2">
        <f>IF($A245&lt;=Dados_Cliente!$B$8*12,D244*(1+Dados_Cliente!$B$24)+Dados_Cliente!$B$7,D244)</f>
        <v>1366.26290359263</v>
      </c>
      <c r="E245" s="2">
        <f>IF($A245&lt;=Dados_Cliente!$B$8*12,E244*(1+Dados_Cliente!$B$27)+Dados_Cliente!$B$7,E244)</f>
        <v>1397.58801631734</v>
      </c>
      <c r="F245" s="2">
        <f>IF($A245&lt;=Dados_Cliente!$B$8*12,F244*(1+Dados_Cliente!$B$28)+Dados_Cliente!$B$7,F244)</f>
        <v>1334.50937803276</v>
      </c>
    </row>
    <row r="246" spans="1:6">
      <c r="A246">
        <f t="shared" si="6"/>
        <v>244</v>
      </c>
      <c r="B246">
        <f t="shared" si="7"/>
        <v>20.3333333333333</v>
      </c>
      <c r="C246" s="2">
        <f>IF($A246&lt;=Dados_Cliente!$B$8*12,C245+Dados_Cliente!$B$7,C245)</f>
        <v>1300</v>
      </c>
      <c r="D246" s="2">
        <f>IF($A246&lt;=Dados_Cliente!$B$8*12,D245*(1+Dados_Cliente!$B$24)+Dados_Cliente!$B$7,D245)</f>
        <v>1366.26290359263</v>
      </c>
      <c r="E246" s="2">
        <f>IF($A246&lt;=Dados_Cliente!$B$8*12,E245*(1+Dados_Cliente!$B$27)+Dados_Cliente!$B$7,E245)</f>
        <v>1397.58801631734</v>
      </c>
      <c r="F246" s="2">
        <f>IF($A246&lt;=Dados_Cliente!$B$8*12,F245*(1+Dados_Cliente!$B$28)+Dados_Cliente!$B$7,F245)</f>
        <v>1334.50937803276</v>
      </c>
    </row>
    <row r="247" spans="1:6">
      <c r="A247">
        <f t="shared" si="6"/>
        <v>245</v>
      </c>
      <c r="B247">
        <f t="shared" si="7"/>
        <v>20.4166666666667</v>
      </c>
      <c r="C247" s="2">
        <f>IF($A247&lt;=Dados_Cliente!$B$8*12,C246+Dados_Cliente!$B$7,C246)</f>
        <v>1300</v>
      </c>
      <c r="D247" s="2">
        <f>IF($A247&lt;=Dados_Cliente!$B$8*12,D246*(1+Dados_Cliente!$B$24)+Dados_Cliente!$B$7,D246)</f>
        <v>1366.26290359263</v>
      </c>
      <c r="E247" s="2">
        <f>IF($A247&lt;=Dados_Cliente!$B$8*12,E246*(1+Dados_Cliente!$B$27)+Dados_Cliente!$B$7,E246)</f>
        <v>1397.58801631734</v>
      </c>
      <c r="F247" s="2">
        <f>IF($A247&lt;=Dados_Cliente!$B$8*12,F246*(1+Dados_Cliente!$B$28)+Dados_Cliente!$B$7,F246)</f>
        <v>1334.50937803276</v>
      </c>
    </row>
    <row r="248" spans="1:6">
      <c r="A248">
        <f t="shared" si="6"/>
        <v>246</v>
      </c>
      <c r="B248">
        <f t="shared" si="7"/>
        <v>20.5</v>
      </c>
      <c r="C248" s="2">
        <f>IF($A248&lt;=Dados_Cliente!$B$8*12,C247+Dados_Cliente!$B$7,C247)</f>
        <v>1300</v>
      </c>
      <c r="D248" s="2">
        <f>IF($A248&lt;=Dados_Cliente!$B$8*12,D247*(1+Dados_Cliente!$B$24)+Dados_Cliente!$B$7,D247)</f>
        <v>1366.26290359263</v>
      </c>
      <c r="E248" s="2">
        <f>IF($A248&lt;=Dados_Cliente!$B$8*12,E247*(1+Dados_Cliente!$B$27)+Dados_Cliente!$B$7,E247)</f>
        <v>1397.58801631734</v>
      </c>
      <c r="F248" s="2">
        <f>IF($A248&lt;=Dados_Cliente!$B$8*12,F247*(1+Dados_Cliente!$B$28)+Dados_Cliente!$B$7,F247)</f>
        <v>1334.50937803276</v>
      </c>
    </row>
    <row r="249" spans="1:6">
      <c r="A249">
        <f t="shared" si="6"/>
        <v>247</v>
      </c>
      <c r="B249">
        <f t="shared" si="7"/>
        <v>20.5833333333333</v>
      </c>
      <c r="C249" s="2">
        <f>IF($A249&lt;=Dados_Cliente!$B$8*12,C248+Dados_Cliente!$B$7,C248)</f>
        <v>1300</v>
      </c>
      <c r="D249" s="2">
        <f>IF($A249&lt;=Dados_Cliente!$B$8*12,D248*(1+Dados_Cliente!$B$24)+Dados_Cliente!$B$7,D248)</f>
        <v>1366.26290359263</v>
      </c>
      <c r="E249" s="2">
        <f>IF($A249&lt;=Dados_Cliente!$B$8*12,E248*(1+Dados_Cliente!$B$27)+Dados_Cliente!$B$7,E248)</f>
        <v>1397.58801631734</v>
      </c>
      <c r="F249" s="2">
        <f>IF($A249&lt;=Dados_Cliente!$B$8*12,F248*(1+Dados_Cliente!$B$28)+Dados_Cliente!$B$7,F248)</f>
        <v>1334.50937803276</v>
      </c>
    </row>
    <row r="250" spans="1:6">
      <c r="A250">
        <f t="shared" si="6"/>
        <v>248</v>
      </c>
      <c r="B250">
        <f t="shared" si="7"/>
        <v>20.6666666666667</v>
      </c>
      <c r="C250" s="2">
        <f>IF($A250&lt;=Dados_Cliente!$B$8*12,C249+Dados_Cliente!$B$7,C249)</f>
        <v>1300</v>
      </c>
      <c r="D250" s="2">
        <f>IF($A250&lt;=Dados_Cliente!$B$8*12,D249*(1+Dados_Cliente!$B$24)+Dados_Cliente!$B$7,D249)</f>
        <v>1366.26290359263</v>
      </c>
      <c r="E250" s="2">
        <f>IF($A250&lt;=Dados_Cliente!$B$8*12,E249*(1+Dados_Cliente!$B$27)+Dados_Cliente!$B$7,E249)</f>
        <v>1397.58801631734</v>
      </c>
      <c r="F250" s="2">
        <f>IF($A250&lt;=Dados_Cliente!$B$8*12,F249*(1+Dados_Cliente!$B$28)+Dados_Cliente!$B$7,F249)</f>
        <v>1334.50937803276</v>
      </c>
    </row>
    <row r="251" spans="1:6">
      <c r="A251">
        <f t="shared" si="6"/>
        <v>249</v>
      </c>
      <c r="B251">
        <f t="shared" si="7"/>
        <v>20.75</v>
      </c>
      <c r="C251" s="2">
        <f>IF($A251&lt;=Dados_Cliente!$B$8*12,C250+Dados_Cliente!$B$7,C250)</f>
        <v>1300</v>
      </c>
      <c r="D251" s="2">
        <f>IF($A251&lt;=Dados_Cliente!$B$8*12,D250*(1+Dados_Cliente!$B$24)+Dados_Cliente!$B$7,D250)</f>
        <v>1366.26290359263</v>
      </c>
      <c r="E251" s="2">
        <f>IF($A251&lt;=Dados_Cliente!$B$8*12,E250*(1+Dados_Cliente!$B$27)+Dados_Cliente!$B$7,E250)</f>
        <v>1397.58801631734</v>
      </c>
      <c r="F251" s="2">
        <f>IF($A251&lt;=Dados_Cliente!$B$8*12,F250*(1+Dados_Cliente!$B$28)+Dados_Cliente!$B$7,F250)</f>
        <v>1334.50937803276</v>
      </c>
    </row>
    <row r="252" spans="1:6">
      <c r="A252">
        <f t="shared" si="6"/>
        <v>250</v>
      </c>
      <c r="B252">
        <f t="shared" si="7"/>
        <v>20.8333333333333</v>
      </c>
      <c r="C252" s="2">
        <f>IF($A252&lt;=Dados_Cliente!$B$8*12,C251+Dados_Cliente!$B$7,C251)</f>
        <v>1300</v>
      </c>
      <c r="D252" s="2">
        <f>IF($A252&lt;=Dados_Cliente!$B$8*12,D251*(1+Dados_Cliente!$B$24)+Dados_Cliente!$B$7,D251)</f>
        <v>1366.26290359263</v>
      </c>
      <c r="E252" s="2">
        <f>IF($A252&lt;=Dados_Cliente!$B$8*12,E251*(1+Dados_Cliente!$B$27)+Dados_Cliente!$B$7,E251)</f>
        <v>1397.58801631734</v>
      </c>
      <c r="F252" s="2">
        <f>IF($A252&lt;=Dados_Cliente!$B$8*12,F251*(1+Dados_Cliente!$B$28)+Dados_Cliente!$B$7,F251)</f>
        <v>1334.50937803276</v>
      </c>
    </row>
    <row r="253" spans="1:6">
      <c r="A253">
        <f t="shared" si="6"/>
        <v>251</v>
      </c>
      <c r="B253">
        <f t="shared" si="7"/>
        <v>20.9166666666667</v>
      </c>
      <c r="C253" s="2">
        <f>IF($A253&lt;=Dados_Cliente!$B$8*12,C252+Dados_Cliente!$B$7,C252)</f>
        <v>1300</v>
      </c>
      <c r="D253" s="2">
        <f>IF($A253&lt;=Dados_Cliente!$B$8*12,D252*(1+Dados_Cliente!$B$24)+Dados_Cliente!$B$7,D252)</f>
        <v>1366.26290359263</v>
      </c>
      <c r="E253" s="2">
        <f>IF($A253&lt;=Dados_Cliente!$B$8*12,E252*(1+Dados_Cliente!$B$27)+Dados_Cliente!$B$7,E252)</f>
        <v>1397.58801631734</v>
      </c>
      <c r="F253" s="2">
        <f>IF($A253&lt;=Dados_Cliente!$B$8*12,F252*(1+Dados_Cliente!$B$28)+Dados_Cliente!$B$7,F252)</f>
        <v>1334.50937803276</v>
      </c>
    </row>
    <row r="254" spans="1:6">
      <c r="A254">
        <f t="shared" si="6"/>
        <v>252</v>
      </c>
      <c r="B254">
        <f t="shared" si="7"/>
        <v>21</v>
      </c>
      <c r="C254" s="2">
        <f>IF($A254&lt;=Dados_Cliente!$B$8*12,C253+Dados_Cliente!$B$7,C253)</f>
        <v>1300</v>
      </c>
      <c r="D254" s="2">
        <f>IF($A254&lt;=Dados_Cliente!$B$8*12,D253*(1+Dados_Cliente!$B$24)+Dados_Cliente!$B$7,D253)</f>
        <v>1366.26290359263</v>
      </c>
      <c r="E254" s="2">
        <f>IF($A254&lt;=Dados_Cliente!$B$8*12,E253*(1+Dados_Cliente!$B$27)+Dados_Cliente!$B$7,E253)</f>
        <v>1397.58801631734</v>
      </c>
      <c r="F254" s="2">
        <f>IF($A254&lt;=Dados_Cliente!$B$8*12,F253*(1+Dados_Cliente!$B$28)+Dados_Cliente!$B$7,F253)</f>
        <v>1334.50937803276</v>
      </c>
    </row>
    <row r="255" spans="1:6">
      <c r="A255">
        <f t="shared" si="6"/>
        <v>253</v>
      </c>
      <c r="B255">
        <f t="shared" si="7"/>
        <v>21.0833333333333</v>
      </c>
      <c r="C255" s="2">
        <f>IF($A255&lt;=Dados_Cliente!$B$8*12,C254+Dados_Cliente!$B$7,C254)</f>
        <v>1300</v>
      </c>
      <c r="D255" s="2">
        <f>IF($A255&lt;=Dados_Cliente!$B$8*12,D254*(1+Dados_Cliente!$B$24)+Dados_Cliente!$B$7,D254)</f>
        <v>1366.26290359263</v>
      </c>
      <c r="E255" s="2">
        <f>IF($A255&lt;=Dados_Cliente!$B$8*12,E254*(1+Dados_Cliente!$B$27)+Dados_Cliente!$B$7,E254)</f>
        <v>1397.58801631734</v>
      </c>
      <c r="F255" s="2">
        <f>IF($A255&lt;=Dados_Cliente!$B$8*12,F254*(1+Dados_Cliente!$B$28)+Dados_Cliente!$B$7,F254)</f>
        <v>1334.50937803276</v>
      </c>
    </row>
    <row r="256" spans="1:6">
      <c r="A256">
        <f t="shared" si="6"/>
        <v>254</v>
      </c>
      <c r="B256">
        <f t="shared" si="7"/>
        <v>21.1666666666667</v>
      </c>
      <c r="C256" s="2">
        <f>IF($A256&lt;=Dados_Cliente!$B$8*12,C255+Dados_Cliente!$B$7,C255)</f>
        <v>1300</v>
      </c>
      <c r="D256" s="2">
        <f>IF($A256&lt;=Dados_Cliente!$B$8*12,D255*(1+Dados_Cliente!$B$24)+Dados_Cliente!$B$7,D255)</f>
        <v>1366.26290359263</v>
      </c>
      <c r="E256" s="2">
        <f>IF($A256&lt;=Dados_Cliente!$B$8*12,E255*(1+Dados_Cliente!$B$27)+Dados_Cliente!$B$7,E255)</f>
        <v>1397.58801631734</v>
      </c>
      <c r="F256" s="2">
        <f>IF($A256&lt;=Dados_Cliente!$B$8*12,F255*(1+Dados_Cliente!$B$28)+Dados_Cliente!$B$7,F255)</f>
        <v>1334.50937803276</v>
      </c>
    </row>
    <row r="257" spans="1:6">
      <c r="A257">
        <f t="shared" si="6"/>
        <v>255</v>
      </c>
      <c r="B257">
        <f t="shared" si="7"/>
        <v>21.25</v>
      </c>
      <c r="C257" s="2">
        <f>IF($A257&lt;=Dados_Cliente!$B$8*12,C256+Dados_Cliente!$B$7,C256)</f>
        <v>1300</v>
      </c>
      <c r="D257" s="2">
        <f>IF($A257&lt;=Dados_Cliente!$B$8*12,D256*(1+Dados_Cliente!$B$24)+Dados_Cliente!$B$7,D256)</f>
        <v>1366.26290359263</v>
      </c>
      <c r="E257" s="2">
        <f>IF($A257&lt;=Dados_Cliente!$B$8*12,E256*(1+Dados_Cliente!$B$27)+Dados_Cliente!$B$7,E256)</f>
        <v>1397.58801631734</v>
      </c>
      <c r="F257" s="2">
        <f>IF($A257&lt;=Dados_Cliente!$B$8*12,F256*(1+Dados_Cliente!$B$28)+Dados_Cliente!$B$7,F256)</f>
        <v>1334.50937803276</v>
      </c>
    </row>
    <row r="258" spans="1:6">
      <c r="A258">
        <f t="shared" si="6"/>
        <v>256</v>
      </c>
      <c r="B258">
        <f t="shared" si="7"/>
        <v>21.3333333333333</v>
      </c>
      <c r="C258" s="2">
        <f>IF($A258&lt;=Dados_Cliente!$B$8*12,C257+Dados_Cliente!$B$7,C257)</f>
        <v>1300</v>
      </c>
      <c r="D258" s="2">
        <f>IF($A258&lt;=Dados_Cliente!$B$8*12,D257*(1+Dados_Cliente!$B$24)+Dados_Cliente!$B$7,D257)</f>
        <v>1366.26290359263</v>
      </c>
      <c r="E258" s="2">
        <f>IF($A258&lt;=Dados_Cliente!$B$8*12,E257*(1+Dados_Cliente!$B$27)+Dados_Cliente!$B$7,E257)</f>
        <v>1397.58801631734</v>
      </c>
      <c r="F258" s="2">
        <f>IF($A258&lt;=Dados_Cliente!$B$8*12,F257*(1+Dados_Cliente!$B$28)+Dados_Cliente!$B$7,F257)</f>
        <v>1334.50937803276</v>
      </c>
    </row>
    <row r="259" spans="1:6">
      <c r="A259">
        <f t="shared" ref="A259:A322" si="8">A258+1</f>
        <v>257</v>
      </c>
      <c r="B259">
        <f t="shared" ref="B259:B322" si="9">A259/12</f>
        <v>21.4166666666667</v>
      </c>
      <c r="C259" s="2">
        <f>IF($A259&lt;=Dados_Cliente!$B$8*12,C258+Dados_Cliente!$B$7,C258)</f>
        <v>1300</v>
      </c>
      <c r="D259" s="2">
        <f>IF($A259&lt;=Dados_Cliente!$B$8*12,D258*(1+Dados_Cliente!$B$24)+Dados_Cliente!$B$7,D258)</f>
        <v>1366.26290359263</v>
      </c>
      <c r="E259" s="2">
        <f>IF($A259&lt;=Dados_Cliente!$B$8*12,E258*(1+Dados_Cliente!$B$27)+Dados_Cliente!$B$7,E258)</f>
        <v>1397.58801631734</v>
      </c>
      <c r="F259" s="2">
        <f>IF($A259&lt;=Dados_Cliente!$B$8*12,F258*(1+Dados_Cliente!$B$28)+Dados_Cliente!$B$7,F258)</f>
        <v>1334.50937803276</v>
      </c>
    </row>
    <row r="260" spans="1:6">
      <c r="A260">
        <f t="shared" si="8"/>
        <v>258</v>
      </c>
      <c r="B260">
        <f t="shared" si="9"/>
        <v>21.5</v>
      </c>
      <c r="C260" s="2">
        <f>IF($A260&lt;=Dados_Cliente!$B$8*12,C259+Dados_Cliente!$B$7,C259)</f>
        <v>1300</v>
      </c>
      <c r="D260" s="2">
        <f>IF($A260&lt;=Dados_Cliente!$B$8*12,D259*(1+Dados_Cliente!$B$24)+Dados_Cliente!$B$7,D259)</f>
        <v>1366.26290359263</v>
      </c>
      <c r="E260" s="2">
        <f>IF($A260&lt;=Dados_Cliente!$B$8*12,E259*(1+Dados_Cliente!$B$27)+Dados_Cliente!$B$7,E259)</f>
        <v>1397.58801631734</v>
      </c>
      <c r="F260" s="2">
        <f>IF($A260&lt;=Dados_Cliente!$B$8*12,F259*(1+Dados_Cliente!$B$28)+Dados_Cliente!$B$7,F259)</f>
        <v>1334.50937803276</v>
      </c>
    </row>
    <row r="261" spans="1:6">
      <c r="A261">
        <f t="shared" si="8"/>
        <v>259</v>
      </c>
      <c r="B261">
        <f t="shared" si="9"/>
        <v>21.5833333333333</v>
      </c>
      <c r="C261" s="2">
        <f>IF($A261&lt;=Dados_Cliente!$B$8*12,C260+Dados_Cliente!$B$7,C260)</f>
        <v>1300</v>
      </c>
      <c r="D261" s="2">
        <f>IF($A261&lt;=Dados_Cliente!$B$8*12,D260*(1+Dados_Cliente!$B$24)+Dados_Cliente!$B$7,D260)</f>
        <v>1366.26290359263</v>
      </c>
      <c r="E261" s="2">
        <f>IF($A261&lt;=Dados_Cliente!$B$8*12,E260*(1+Dados_Cliente!$B$27)+Dados_Cliente!$B$7,E260)</f>
        <v>1397.58801631734</v>
      </c>
      <c r="F261" s="2">
        <f>IF($A261&lt;=Dados_Cliente!$B$8*12,F260*(1+Dados_Cliente!$B$28)+Dados_Cliente!$B$7,F260)</f>
        <v>1334.50937803276</v>
      </c>
    </row>
    <row r="262" spans="1:6">
      <c r="A262">
        <f t="shared" si="8"/>
        <v>260</v>
      </c>
      <c r="B262">
        <f t="shared" si="9"/>
        <v>21.6666666666667</v>
      </c>
      <c r="C262" s="2">
        <f>IF($A262&lt;=Dados_Cliente!$B$8*12,C261+Dados_Cliente!$B$7,C261)</f>
        <v>1300</v>
      </c>
      <c r="D262" s="2">
        <f>IF($A262&lt;=Dados_Cliente!$B$8*12,D261*(1+Dados_Cliente!$B$24)+Dados_Cliente!$B$7,D261)</f>
        <v>1366.26290359263</v>
      </c>
      <c r="E262" s="2">
        <f>IF($A262&lt;=Dados_Cliente!$B$8*12,E261*(1+Dados_Cliente!$B$27)+Dados_Cliente!$B$7,E261)</f>
        <v>1397.58801631734</v>
      </c>
      <c r="F262" s="2">
        <f>IF($A262&lt;=Dados_Cliente!$B$8*12,F261*(1+Dados_Cliente!$B$28)+Dados_Cliente!$B$7,F261)</f>
        <v>1334.50937803276</v>
      </c>
    </row>
    <row r="263" spans="1:6">
      <c r="A263">
        <f t="shared" si="8"/>
        <v>261</v>
      </c>
      <c r="B263">
        <f t="shared" si="9"/>
        <v>21.75</v>
      </c>
      <c r="C263" s="2">
        <f>IF($A263&lt;=Dados_Cliente!$B$8*12,C262+Dados_Cliente!$B$7,C262)</f>
        <v>1300</v>
      </c>
      <c r="D263" s="2">
        <f>IF($A263&lt;=Dados_Cliente!$B$8*12,D262*(1+Dados_Cliente!$B$24)+Dados_Cliente!$B$7,D262)</f>
        <v>1366.26290359263</v>
      </c>
      <c r="E263" s="2">
        <f>IF($A263&lt;=Dados_Cliente!$B$8*12,E262*(1+Dados_Cliente!$B$27)+Dados_Cliente!$B$7,E262)</f>
        <v>1397.58801631734</v>
      </c>
      <c r="F263" s="2">
        <f>IF($A263&lt;=Dados_Cliente!$B$8*12,F262*(1+Dados_Cliente!$B$28)+Dados_Cliente!$B$7,F262)</f>
        <v>1334.50937803276</v>
      </c>
    </row>
    <row r="264" spans="1:6">
      <c r="A264">
        <f t="shared" si="8"/>
        <v>262</v>
      </c>
      <c r="B264">
        <f t="shared" si="9"/>
        <v>21.8333333333333</v>
      </c>
      <c r="C264" s="2">
        <f>IF($A264&lt;=Dados_Cliente!$B$8*12,C263+Dados_Cliente!$B$7,C263)</f>
        <v>1300</v>
      </c>
      <c r="D264" s="2">
        <f>IF($A264&lt;=Dados_Cliente!$B$8*12,D263*(1+Dados_Cliente!$B$24)+Dados_Cliente!$B$7,D263)</f>
        <v>1366.26290359263</v>
      </c>
      <c r="E264" s="2">
        <f>IF($A264&lt;=Dados_Cliente!$B$8*12,E263*(1+Dados_Cliente!$B$27)+Dados_Cliente!$B$7,E263)</f>
        <v>1397.58801631734</v>
      </c>
      <c r="F264" s="2">
        <f>IF($A264&lt;=Dados_Cliente!$B$8*12,F263*(1+Dados_Cliente!$B$28)+Dados_Cliente!$B$7,F263)</f>
        <v>1334.50937803276</v>
      </c>
    </row>
    <row r="265" spans="1:6">
      <c r="A265">
        <f t="shared" si="8"/>
        <v>263</v>
      </c>
      <c r="B265">
        <f t="shared" si="9"/>
        <v>21.9166666666667</v>
      </c>
      <c r="C265" s="2">
        <f>IF($A265&lt;=Dados_Cliente!$B$8*12,C264+Dados_Cliente!$B$7,C264)</f>
        <v>1300</v>
      </c>
      <c r="D265" s="2">
        <f>IF($A265&lt;=Dados_Cliente!$B$8*12,D264*(1+Dados_Cliente!$B$24)+Dados_Cliente!$B$7,D264)</f>
        <v>1366.26290359263</v>
      </c>
      <c r="E265" s="2">
        <f>IF($A265&lt;=Dados_Cliente!$B$8*12,E264*(1+Dados_Cliente!$B$27)+Dados_Cliente!$B$7,E264)</f>
        <v>1397.58801631734</v>
      </c>
      <c r="F265" s="2">
        <f>IF($A265&lt;=Dados_Cliente!$B$8*12,F264*(1+Dados_Cliente!$B$28)+Dados_Cliente!$B$7,F264)</f>
        <v>1334.50937803276</v>
      </c>
    </row>
    <row r="266" spans="1:6">
      <c r="A266">
        <f t="shared" si="8"/>
        <v>264</v>
      </c>
      <c r="B266">
        <f t="shared" si="9"/>
        <v>22</v>
      </c>
      <c r="C266" s="2">
        <f>IF($A266&lt;=Dados_Cliente!$B$8*12,C265+Dados_Cliente!$B$7,C265)</f>
        <v>1300</v>
      </c>
      <c r="D266" s="2">
        <f>IF($A266&lt;=Dados_Cliente!$B$8*12,D265*(1+Dados_Cliente!$B$24)+Dados_Cliente!$B$7,D265)</f>
        <v>1366.26290359263</v>
      </c>
      <c r="E266" s="2">
        <f>IF($A266&lt;=Dados_Cliente!$B$8*12,E265*(1+Dados_Cliente!$B$27)+Dados_Cliente!$B$7,E265)</f>
        <v>1397.58801631734</v>
      </c>
      <c r="F266" s="2">
        <f>IF($A266&lt;=Dados_Cliente!$B$8*12,F265*(1+Dados_Cliente!$B$28)+Dados_Cliente!$B$7,F265)</f>
        <v>1334.50937803276</v>
      </c>
    </row>
    <row r="267" spans="1:6">
      <c r="A267">
        <f t="shared" si="8"/>
        <v>265</v>
      </c>
      <c r="B267">
        <f t="shared" si="9"/>
        <v>22.0833333333333</v>
      </c>
      <c r="C267" s="2">
        <f>IF($A267&lt;=Dados_Cliente!$B$8*12,C266+Dados_Cliente!$B$7,C266)</f>
        <v>1300</v>
      </c>
      <c r="D267" s="2">
        <f>IF($A267&lt;=Dados_Cliente!$B$8*12,D266*(1+Dados_Cliente!$B$24)+Dados_Cliente!$B$7,D266)</f>
        <v>1366.26290359263</v>
      </c>
      <c r="E267" s="2">
        <f>IF($A267&lt;=Dados_Cliente!$B$8*12,E266*(1+Dados_Cliente!$B$27)+Dados_Cliente!$B$7,E266)</f>
        <v>1397.58801631734</v>
      </c>
      <c r="F267" s="2">
        <f>IF($A267&lt;=Dados_Cliente!$B$8*12,F266*(1+Dados_Cliente!$B$28)+Dados_Cliente!$B$7,F266)</f>
        <v>1334.50937803276</v>
      </c>
    </row>
    <row r="268" spans="1:6">
      <c r="A268">
        <f t="shared" si="8"/>
        <v>266</v>
      </c>
      <c r="B268">
        <f t="shared" si="9"/>
        <v>22.1666666666667</v>
      </c>
      <c r="C268" s="2">
        <f>IF($A268&lt;=Dados_Cliente!$B$8*12,C267+Dados_Cliente!$B$7,C267)</f>
        <v>1300</v>
      </c>
      <c r="D268" s="2">
        <f>IF($A268&lt;=Dados_Cliente!$B$8*12,D267*(1+Dados_Cliente!$B$24)+Dados_Cliente!$B$7,D267)</f>
        <v>1366.26290359263</v>
      </c>
      <c r="E268" s="2">
        <f>IF($A268&lt;=Dados_Cliente!$B$8*12,E267*(1+Dados_Cliente!$B$27)+Dados_Cliente!$B$7,E267)</f>
        <v>1397.58801631734</v>
      </c>
      <c r="F268" s="2">
        <f>IF($A268&lt;=Dados_Cliente!$B$8*12,F267*(1+Dados_Cliente!$B$28)+Dados_Cliente!$B$7,F267)</f>
        <v>1334.50937803276</v>
      </c>
    </row>
    <row r="269" spans="1:6">
      <c r="A269">
        <f t="shared" si="8"/>
        <v>267</v>
      </c>
      <c r="B269">
        <f t="shared" si="9"/>
        <v>22.25</v>
      </c>
      <c r="C269" s="2">
        <f>IF($A269&lt;=Dados_Cliente!$B$8*12,C268+Dados_Cliente!$B$7,C268)</f>
        <v>1300</v>
      </c>
      <c r="D269" s="2">
        <f>IF($A269&lt;=Dados_Cliente!$B$8*12,D268*(1+Dados_Cliente!$B$24)+Dados_Cliente!$B$7,D268)</f>
        <v>1366.26290359263</v>
      </c>
      <c r="E269" s="2">
        <f>IF($A269&lt;=Dados_Cliente!$B$8*12,E268*(1+Dados_Cliente!$B$27)+Dados_Cliente!$B$7,E268)</f>
        <v>1397.58801631734</v>
      </c>
      <c r="F269" s="2">
        <f>IF($A269&lt;=Dados_Cliente!$B$8*12,F268*(1+Dados_Cliente!$B$28)+Dados_Cliente!$B$7,F268)</f>
        <v>1334.50937803276</v>
      </c>
    </row>
    <row r="270" spans="1:6">
      <c r="A270">
        <f t="shared" si="8"/>
        <v>268</v>
      </c>
      <c r="B270">
        <f t="shared" si="9"/>
        <v>22.3333333333333</v>
      </c>
      <c r="C270" s="2">
        <f>IF($A270&lt;=Dados_Cliente!$B$8*12,C269+Dados_Cliente!$B$7,C269)</f>
        <v>1300</v>
      </c>
      <c r="D270" s="2">
        <f>IF($A270&lt;=Dados_Cliente!$B$8*12,D269*(1+Dados_Cliente!$B$24)+Dados_Cliente!$B$7,D269)</f>
        <v>1366.26290359263</v>
      </c>
      <c r="E270" s="2">
        <f>IF($A270&lt;=Dados_Cliente!$B$8*12,E269*(1+Dados_Cliente!$B$27)+Dados_Cliente!$B$7,E269)</f>
        <v>1397.58801631734</v>
      </c>
      <c r="F270" s="2">
        <f>IF($A270&lt;=Dados_Cliente!$B$8*12,F269*(1+Dados_Cliente!$B$28)+Dados_Cliente!$B$7,F269)</f>
        <v>1334.50937803276</v>
      </c>
    </row>
    <row r="271" spans="1:6">
      <c r="A271">
        <f t="shared" si="8"/>
        <v>269</v>
      </c>
      <c r="B271">
        <f t="shared" si="9"/>
        <v>22.4166666666667</v>
      </c>
      <c r="C271" s="2">
        <f>IF($A271&lt;=Dados_Cliente!$B$8*12,C270+Dados_Cliente!$B$7,C270)</f>
        <v>1300</v>
      </c>
      <c r="D271" s="2">
        <f>IF($A271&lt;=Dados_Cliente!$B$8*12,D270*(1+Dados_Cliente!$B$24)+Dados_Cliente!$B$7,D270)</f>
        <v>1366.26290359263</v>
      </c>
      <c r="E271" s="2">
        <f>IF($A271&lt;=Dados_Cliente!$B$8*12,E270*(1+Dados_Cliente!$B$27)+Dados_Cliente!$B$7,E270)</f>
        <v>1397.58801631734</v>
      </c>
      <c r="F271" s="2">
        <f>IF($A271&lt;=Dados_Cliente!$B$8*12,F270*(1+Dados_Cliente!$B$28)+Dados_Cliente!$B$7,F270)</f>
        <v>1334.50937803276</v>
      </c>
    </row>
    <row r="272" spans="1:6">
      <c r="A272">
        <f t="shared" si="8"/>
        <v>270</v>
      </c>
      <c r="B272">
        <f t="shared" si="9"/>
        <v>22.5</v>
      </c>
      <c r="C272" s="2">
        <f>IF($A272&lt;=Dados_Cliente!$B$8*12,C271+Dados_Cliente!$B$7,C271)</f>
        <v>1300</v>
      </c>
      <c r="D272" s="2">
        <f>IF($A272&lt;=Dados_Cliente!$B$8*12,D271*(1+Dados_Cliente!$B$24)+Dados_Cliente!$B$7,D271)</f>
        <v>1366.26290359263</v>
      </c>
      <c r="E272" s="2">
        <f>IF($A272&lt;=Dados_Cliente!$B$8*12,E271*(1+Dados_Cliente!$B$27)+Dados_Cliente!$B$7,E271)</f>
        <v>1397.58801631734</v>
      </c>
      <c r="F272" s="2">
        <f>IF($A272&lt;=Dados_Cliente!$B$8*12,F271*(1+Dados_Cliente!$B$28)+Dados_Cliente!$B$7,F271)</f>
        <v>1334.50937803276</v>
      </c>
    </row>
    <row r="273" spans="1:6">
      <c r="A273">
        <f t="shared" si="8"/>
        <v>271</v>
      </c>
      <c r="B273">
        <f t="shared" si="9"/>
        <v>22.5833333333333</v>
      </c>
      <c r="C273" s="2">
        <f>IF($A273&lt;=Dados_Cliente!$B$8*12,C272+Dados_Cliente!$B$7,C272)</f>
        <v>1300</v>
      </c>
      <c r="D273" s="2">
        <f>IF($A273&lt;=Dados_Cliente!$B$8*12,D272*(1+Dados_Cliente!$B$24)+Dados_Cliente!$B$7,D272)</f>
        <v>1366.26290359263</v>
      </c>
      <c r="E273" s="2">
        <f>IF($A273&lt;=Dados_Cliente!$B$8*12,E272*(1+Dados_Cliente!$B$27)+Dados_Cliente!$B$7,E272)</f>
        <v>1397.58801631734</v>
      </c>
      <c r="F273" s="2">
        <f>IF($A273&lt;=Dados_Cliente!$B$8*12,F272*(1+Dados_Cliente!$B$28)+Dados_Cliente!$B$7,F272)</f>
        <v>1334.50937803276</v>
      </c>
    </row>
    <row r="274" spans="1:6">
      <c r="A274">
        <f t="shared" si="8"/>
        <v>272</v>
      </c>
      <c r="B274">
        <f t="shared" si="9"/>
        <v>22.6666666666667</v>
      </c>
      <c r="C274" s="2">
        <f>IF($A274&lt;=Dados_Cliente!$B$8*12,C273+Dados_Cliente!$B$7,C273)</f>
        <v>1300</v>
      </c>
      <c r="D274" s="2">
        <f>IF($A274&lt;=Dados_Cliente!$B$8*12,D273*(1+Dados_Cliente!$B$24)+Dados_Cliente!$B$7,D273)</f>
        <v>1366.26290359263</v>
      </c>
      <c r="E274" s="2">
        <f>IF($A274&lt;=Dados_Cliente!$B$8*12,E273*(1+Dados_Cliente!$B$27)+Dados_Cliente!$B$7,E273)</f>
        <v>1397.58801631734</v>
      </c>
      <c r="F274" s="2">
        <f>IF($A274&lt;=Dados_Cliente!$B$8*12,F273*(1+Dados_Cliente!$B$28)+Dados_Cliente!$B$7,F273)</f>
        <v>1334.50937803276</v>
      </c>
    </row>
    <row r="275" spans="1:6">
      <c r="A275">
        <f t="shared" si="8"/>
        <v>273</v>
      </c>
      <c r="B275">
        <f t="shared" si="9"/>
        <v>22.75</v>
      </c>
      <c r="C275" s="2">
        <f>IF($A275&lt;=Dados_Cliente!$B$8*12,C274+Dados_Cliente!$B$7,C274)</f>
        <v>1300</v>
      </c>
      <c r="D275" s="2">
        <f>IF($A275&lt;=Dados_Cliente!$B$8*12,D274*(1+Dados_Cliente!$B$24)+Dados_Cliente!$B$7,D274)</f>
        <v>1366.26290359263</v>
      </c>
      <c r="E275" s="2">
        <f>IF($A275&lt;=Dados_Cliente!$B$8*12,E274*(1+Dados_Cliente!$B$27)+Dados_Cliente!$B$7,E274)</f>
        <v>1397.58801631734</v>
      </c>
      <c r="F275" s="2">
        <f>IF($A275&lt;=Dados_Cliente!$B$8*12,F274*(1+Dados_Cliente!$B$28)+Dados_Cliente!$B$7,F274)</f>
        <v>1334.50937803276</v>
      </c>
    </row>
    <row r="276" spans="1:6">
      <c r="A276">
        <f t="shared" si="8"/>
        <v>274</v>
      </c>
      <c r="B276">
        <f t="shared" si="9"/>
        <v>22.8333333333333</v>
      </c>
      <c r="C276" s="2">
        <f>IF($A276&lt;=Dados_Cliente!$B$8*12,C275+Dados_Cliente!$B$7,C275)</f>
        <v>1300</v>
      </c>
      <c r="D276" s="2">
        <f>IF($A276&lt;=Dados_Cliente!$B$8*12,D275*(1+Dados_Cliente!$B$24)+Dados_Cliente!$B$7,D275)</f>
        <v>1366.26290359263</v>
      </c>
      <c r="E276" s="2">
        <f>IF($A276&lt;=Dados_Cliente!$B$8*12,E275*(1+Dados_Cliente!$B$27)+Dados_Cliente!$B$7,E275)</f>
        <v>1397.58801631734</v>
      </c>
      <c r="F276" s="2">
        <f>IF($A276&lt;=Dados_Cliente!$B$8*12,F275*(1+Dados_Cliente!$B$28)+Dados_Cliente!$B$7,F275)</f>
        <v>1334.50937803276</v>
      </c>
    </row>
    <row r="277" spans="1:6">
      <c r="A277">
        <f t="shared" si="8"/>
        <v>275</v>
      </c>
      <c r="B277">
        <f t="shared" si="9"/>
        <v>22.9166666666667</v>
      </c>
      <c r="C277" s="2">
        <f>IF($A277&lt;=Dados_Cliente!$B$8*12,C276+Dados_Cliente!$B$7,C276)</f>
        <v>1300</v>
      </c>
      <c r="D277" s="2">
        <f>IF($A277&lt;=Dados_Cliente!$B$8*12,D276*(1+Dados_Cliente!$B$24)+Dados_Cliente!$B$7,D276)</f>
        <v>1366.26290359263</v>
      </c>
      <c r="E277" s="2">
        <f>IF($A277&lt;=Dados_Cliente!$B$8*12,E276*(1+Dados_Cliente!$B$27)+Dados_Cliente!$B$7,E276)</f>
        <v>1397.58801631734</v>
      </c>
      <c r="F277" s="2">
        <f>IF($A277&lt;=Dados_Cliente!$B$8*12,F276*(1+Dados_Cliente!$B$28)+Dados_Cliente!$B$7,F276)</f>
        <v>1334.50937803276</v>
      </c>
    </row>
    <row r="278" spans="1:6">
      <c r="A278">
        <f t="shared" si="8"/>
        <v>276</v>
      </c>
      <c r="B278">
        <f t="shared" si="9"/>
        <v>23</v>
      </c>
      <c r="C278" s="2">
        <f>IF($A278&lt;=Dados_Cliente!$B$8*12,C277+Dados_Cliente!$B$7,C277)</f>
        <v>1300</v>
      </c>
      <c r="D278" s="2">
        <f>IF($A278&lt;=Dados_Cliente!$B$8*12,D277*(1+Dados_Cliente!$B$24)+Dados_Cliente!$B$7,D277)</f>
        <v>1366.26290359263</v>
      </c>
      <c r="E278" s="2">
        <f>IF($A278&lt;=Dados_Cliente!$B$8*12,E277*(1+Dados_Cliente!$B$27)+Dados_Cliente!$B$7,E277)</f>
        <v>1397.58801631734</v>
      </c>
      <c r="F278" s="2">
        <f>IF($A278&lt;=Dados_Cliente!$B$8*12,F277*(1+Dados_Cliente!$B$28)+Dados_Cliente!$B$7,F277)</f>
        <v>1334.50937803276</v>
      </c>
    </row>
    <row r="279" spans="1:6">
      <c r="A279">
        <f t="shared" si="8"/>
        <v>277</v>
      </c>
      <c r="B279">
        <f t="shared" si="9"/>
        <v>23.0833333333333</v>
      </c>
      <c r="C279" s="2">
        <f>IF($A279&lt;=Dados_Cliente!$B$8*12,C278+Dados_Cliente!$B$7,C278)</f>
        <v>1300</v>
      </c>
      <c r="D279" s="2">
        <f>IF($A279&lt;=Dados_Cliente!$B$8*12,D278*(1+Dados_Cliente!$B$24)+Dados_Cliente!$B$7,D278)</f>
        <v>1366.26290359263</v>
      </c>
      <c r="E279" s="2">
        <f>IF($A279&lt;=Dados_Cliente!$B$8*12,E278*(1+Dados_Cliente!$B$27)+Dados_Cliente!$B$7,E278)</f>
        <v>1397.58801631734</v>
      </c>
      <c r="F279" s="2">
        <f>IF($A279&lt;=Dados_Cliente!$B$8*12,F278*(1+Dados_Cliente!$B$28)+Dados_Cliente!$B$7,F278)</f>
        <v>1334.50937803276</v>
      </c>
    </row>
    <row r="280" spans="1:6">
      <c r="A280">
        <f t="shared" si="8"/>
        <v>278</v>
      </c>
      <c r="B280">
        <f t="shared" si="9"/>
        <v>23.1666666666667</v>
      </c>
      <c r="C280" s="2">
        <f>IF($A280&lt;=Dados_Cliente!$B$8*12,C279+Dados_Cliente!$B$7,C279)</f>
        <v>1300</v>
      </c>
      <c r="D280" s="2">
        <f>IF($A280&lt;=Dados_Cliente!$B$8*12,D279*(1+Dados_Cliente!$B$24)+Dados_Cliente!$B$7,D279)</f>
        <v>1366.26290359263</v>
      </c>
      <c r="E280" s="2">
        <f>IF($A280&lt;=Dados_Cliente!$B$8*12,E279*(1+Dados_Cliente!$B$27)+Dados_Cliente!$B$7,E279)</f>
        <v>1397.58801631734</v>
      </c>
      <c r="F280" s="2">
        <f>IF($A280&lt;=Dados_Cliente!$B$8*12,F279*(1+Dados_Cliente!$B$28)+Dados_Cliente!$B$7,F279)</f>
        <v>1334.50937803276</v>
      </c>
    </row>
    <row r="281" spans="1:6">
      <c r="A281">
        <f t="shared" si="8"/>
        <v>279</v>
      </c>
      <c r="B281">
        <f t="shared" si="9"/>
        <v>23.25</v>
      </c>
      <c r="C281" s="2">
        <f>IF($A281&lt;=Dados_Cliente!$B$8*12,C280+Dados_Cliente!$B$7,C280)</f>
        <v>1300</v>
      </c>
      <c r="D281" s="2">
        <f>IF($A281&lt;=Dados_Cliente!$B$8*12,D280*(1+Dados_Cliente!$B$24)+Dados_Cliente!$B$7,D280)</f>
        <v>1366.26290359263</v>
      </c>
      <c r="E281" s="2">
        <f>IF($A281&lt;=Dados_Cliente!$B$8*12,E280*(1+Dados_Cliente!$B$27)+Dados_Cliente!$B$7,E280)</f>
        <v>1397.58801631734</v>
      </c>
      <c r="F281" s="2">
        <f>IF($A281&lt;=Dados_Cliente!$B$8*12,F280*(1+Dados_Cliente!$B$28)+Dados_Cliente!$B$7,F280)</f>
        <v>1334.50937803276</v>
      </c>
    </row>
    <row r="282" spans="1:6">
      <c r="A282">
        <f t="shared" si="8"/>
        <v>280</v>
      </c>
      <c r="B282">
        <f t="shared" si="9"/>
        <v>23.3333333333333</v>
      </c>
      <c r="C282" s="2">
        <f>IF($A282&lt;=Dados_Cliente!$B$8*12,C281+Dados_Cliente!$B$7,C281)</f>
        <v>1300</v>
      </c>
      <c r="D282" s="2">
        <f>IF($A282&lt;=Dados_Cliente!$B$8*12,D281*(1+Dados_Cliente!$B$24)+Dados_Cliente!$B$7,D281)</f>
        <v>1366.26290359263</v>
      </c>
      <c r="E282" s="2">
        <f>IF($A282&lt;=Dados_Cliente!$B$8*12,E281*(1+Dados_Cliente!$B$27)+Dados_Cliente!$B$7,E281)</f>
        <v>1397.58801631734</v>
      </c>
      <c r="F282" s="2">
        <f>IF($A282&lt;=Dados_Cliente!$B$8*12,F281*(1+Dados_Cliente!$B$28)+Dados_Cliente!$B$7,F281)</f>
        <v>1334.50937803276</v>
      </c>
    </row>
    <row r="283" spans="1:6">
      <c r="A283">
        <f t="shared" si="8"/>
        <v>281</v>
      </c>
      <c r="B283">
        <f t="shared" si="9"/>
        <v>23.4166666666667</v>
      </c>
      <c r="C283" s="2">
        <f>IF($A283&lt;=Dados_Cliente!$B$8*12,C282+Dados_Cliente!$B$7,C282)</f>
        <v>1300</v>
      </c>
      <c r="D283" s="2">
        <f>IF($A283&lt;=Dados_Cliente!$B$8*12,D282*(1+Dados_Cliente!$B$24)+Dados_Cliente!$B$7,D282)</f>
        <v>1366.26290359263</v>
      </c>
      <c r="E283" s="2">
        <f>IF($A283&lt;=Dados_Cliente!$B$8*12,E282*(1+Dados_Cliente!$B$27)+Dados_Cliente!$B$7,E282)</f>
        <v>1397.58801631734</v>
      </c>
      <c r="F283" s="2">
        <f>IF($A283&lt;=Dados_Cliente!$B$8*12,F282*(1+Dados_Cliente!$B$28)+Dados_Cliente!$B$7,F282)</f>
        <v>1334.50937803276</v>
      </c>
    </row>
    <row r="284" spans="1:6">
      <c r="A284">
        <f t="shared" si="8"/>
        <v>282</v>
      </c>
      <c r="B284">
        <f t="shared" si="9"/>
        <v>23.5</v>
      </c>
      <c r="C284" s="2">
        <f>IF($A284&lt;=Dados_Cliente!$B$8*12,C283+Dados_Cliente!$B$7,C283)</f>
        <v>1300</v>
      </c>
      <c r="D284" s="2">
        <f>IF($A284&lt;=Dados_Cliente!$B$8*12,D283*(1+Dados_Cliente!$B$24)+Dados_Cliente!$B$7,D283)</f>
        <v>1366.26290359263</v>
      </c>
      <c r="E284" s="2">
        <f>IF($A284&lt;=Dados_Cliente!$B$8*12,E283*(1+Dados_Cliente!$B$27)+Dados_Cliente!$B$7,E283)</f>
        <v>1397.58801631734</v>
      </c>
      <c r="F284" s="2">
        <f>IF($A284&lt;=Dados_Cliente!$B$8*12,F283*(1+Dados_Cliente!$B$28)+Dados_Cliente!$B$7,F283)</f>
        <v>1334.50937803276</v>
      </c>
    </row>
    <row r="285" spans="1:6">
      <c r="A285">
        <f t="shared" si="8"/>
        <v>283</v>
      </c>
      <c r="B285">
        <f t="shared" si="9"/>
        <v>23.5833333333333</v>
      </c>
      <c r="C285" s="2">
        <f>IF($A285&lt;=Dados_Cliente!$B$8*12,C284+Dados_Cliente!$B$7,C284)</f>
        <v>1300</v>
      </c>
      <c r="D285" s="2">
        <f>IF($A285&lt;=Dados_Cliente!$B$8*12,D284*(1+Dados_Cliente!$B$24)+Dados_Cliente!$B$7,D284)</f>
        <v>1366.26290359263</v>
      </c>
      <c r="E285" s="2">
        <f>IF($A285&lt;=Dados_Cliente!$B$8*12,E284*(1+Dados_Cliente!$B$27)+Dados_Cliente!$B$7,E284)</f>
        <v>1397.58801631734</v>
      </c>
      <c r="F285" s="2">
        <f>IF($A285&lt;=Dados_Cliente!$B$8*12,F284*(1+Dados_Cliente!$B$28)+Dados_Cliente!$B$7,F284)</f>
        <v>1334.50937803276</v>
      </c>
    </row>
    <row r="286" spans="1:6">
      <c r="A286">
        <f t="shared" si="8"/>
        <v>284</v>
      </c>
      <c r="B286">
        <f t="shared" si="9"/>
        <v>23.6666666666667</v>
      </c>
      <c r="C286" s="2">
        <f>IF($A286&lt;=Dados_Cliente!$B$8*12,C285+Dados_Cliente!$B$7,C285)</f>
        <v>1300</v>
      </c>
      <c r="D286" s="2">
        <f>IF($A286&lt;=Dados_Cliente!$B$8*12,D285*(1+Dados_Cliente!$B$24)+Dados_Cliente!$B$7,D285)</f>
        <v>1366.26290359263</v>
      </c>
      <c r="E286" s="2">
        <f>IF($A286&lt;=Dados_Cliente!$B$8*12,E285*(1+Dados_Cliente!$B$27)+Dados_Cliente!$B$7,E285)</f>
        <v>1397.58801631734</v>
      </c>
      <c r="F286" s="2">
        <f>IF($A286&lt;=Dados_Cliente!$B$8*12,F285*(1+Dados_Cliente!$B$28)+Dados_Cliente!$B$7,F285)</f>
        <v>1334.50937803276</v>
      </c>
    </row>
    <row r="287" spans="1:6">
      <c r="A287">
        <f t="shared" si="8"/>
        <v>285</v>
      </c>
      <c r="B287">
        <f t="shared" si="9"/>
        <v>23.75</v>
      </c>
      <c r="C287" s="2">
        <f>IF($A287&lt;=Dados_Cliente!$B$8*12,C286+Dados_Cliente!$B$7,C286)</f>
        <v>1300</v>
      </c>
      <c r="D287" s="2">
        <f>IF($A287&lt;=Dados_Cliente!$B$8*12,D286*(1+Dados_Cliente!$B$24)+Dados_Cliente!$B$7,D286)</f>
        <v>1366.26290359263</v>
      </c>
      <c r="E287" s="2">
        <f>IF($A287&lt;=Dados_Cliente!$B$8*12,E286*(1+Dados_Cliente!$B$27)+Dados_Cliente!$B$7,E286)</f>
        <v>1397.58801631734</v>
      </c>
      <c r="F287" s="2">
        <f>IF($A287&lt;=Dados_Cliente!$B$8*12,F286*(1+Dados_Cliente!$B$28)+Dados_Cliente!$B$7,F286)</f>
        <v>1334.50937803276</v>
      </c>
    </row>
    <row r="288" spans="1:6">
      <c r="A288">
        <f t="shared" si="8"/>
        <v>286</v>
      </c>
      <c r="B288">
        <f t="shared" si="9"/>
        <v>23.8333333333333</v>
      </c>
      <c r="C288" s="2">
        <f>IF($A288&lt;=Dados_Cliente!$B$8*12,C287+Dados_Cliente!$B$7,C287)</f>
        <v>1300</v>
      </c>
      <c r="D288" s="2">
        <f>IF($A288&lt;=Dados_Cliente!$B$8*12,D287*(1+Dados_Cliente!$B$24)+Dados_Cliente!$B$7,D287)</f>
        <v>1366.26290359263</v>
      </c>
      <c r="E288" s="2">
        <f>IF($A288&lt;=Dados_Cliente!$B$8*12,E287*(1+Dados_Cliente!$B$27)+Dados_Cliente!$B$7,E287)</f>
        <v>1397.58801631734</v>
      </c>
      <c r="F288" s="2">
        <f>IF($A288&lt;=Dados_Cliente!$B$8*12,F287*(1+Dados_Cliente!$B$28)+Dados_Cliente!$B$7,F287)</f>
        <v>1334.50937803276</v>
      </c>
    </row>
    <row r="289" spans="1:6">
      <c r="A289">
        <f t="shared" si="8"/>
        <v>287</v>
      </c>
      <c r="B289">
        <f t="shared" si="9"/>
        <v>23.9166666666667</v>
      </c>
      <c r="C289" s="2">
        <f>IF($A289&lt;=Dados_Cliente!$B$8*12,C288+Dados_Cliente!$B$7,C288)</f>
        <v>1300</v>
      </c>
      <c r="D289" s="2">
        <f>IF($A289&lt;=Dados_Cliente!$B$8*12,D288*(1+Dados_Cliente!$B$24)+Dados_Cliente!$B$7,D288)</f>
        <v>1366.26290359263</v>
      </c>
      <c r="E289" s="2">
        <f>IF($A289&lt;=Dados_Cliente!$B$8*12,E288*(1+Dados_Cliente!$B$27)+Dados_Cliente!$B$7,E288)</f>
        <v>1397.58801631734</v>
      </c>
      <c r="F289" s="2">
        <f>IF($A289&lt;=Dados_Cliente!$B$8*12,F288*(1+Dados_Cliente!$B$28)+Dados_Cliente!$B$7,F288)</f>
        <v>1334.50937803276</v>
      </c>
    </row>
    <row r="290" spans="1:6">
      <c r="A290">
        <f t="shared" si="8"/>
        <v>288</v>
      </c>
      <c r="B290">
        <f t="shared" si="9"/>
        <v>24</v>
      </c>
      <c r="C290" s="2">
        <f>IF($A290&lt;=Dados_Cliente!$B$8*12,C289+Dados_Cliente!$B$7,C289)</f>
        <v>1300</v>
      </c>
      <c r="D290" s="2">
        <f>IF($A290&lt;=Dados_Cliente!$B$8*12,D289*(1+Dados_Cliente!$B$24)+Dados_Cliente!$B$7,D289)</f>
        <v>1366.26290359263</v>
      </c>
      <c r="E290" s="2">
        <f>IF($A290&lt;=Dados_Cliente!$B$8*12,E289*(1+Dados_Cliente!$B$27)+Dados_Cliente!$B$7,E289)</f>
        <v>1397.58801631734</v>
      </c>
      <c r="F290" s="2">
        <f>IF($A290&lt;=Dados_Cliente!$B$8*12,F289*(1+Dados_Cliente!$B$28)+Dados_Cliente!$B$7,F289)</f>
        <v>1334.50937803276</v>
      </c>
    </row>
    <row r="291" spans="1:6">
      <c r="A291">
        <f t="shared" si="8"/>
        <v>289</v>
      </c>
      <c r="B291">
        <f t="shared" si="9"/>
        <v>24.0833333333333</v>
      </c>
      <c r="C291" s="2">
        <f>IF($A291&lt;=Dados_Cliente!$B$8*12,C290+Dados_Cliente!$B$7,C290)</f>
        <v>1300</v>
      </c>
      <c r="D291" s="2">
        <f>IF($A291&lt;=Dados_Cliente!$B$8*12,D290*(1+Dados_Cliente!$B$24)+Dados_Cliente!$B$7,D290)</f>
        <v>1366.26290359263</v>
      </c>
      <c r="E291" s="2">
        <f>IF($A291&lt;=Dados_Cliente!$B$8*12,E290*(1+Dados_Cliente!$B$27)+Dados_Cliente!$B$7,E290)</f>
        <v>1397.58801631734</v>
      </c>
      <c r="F291" s="2">
        <f>IF($A291&lt;=Dados_Cliente!$B$8*12,F290*(1+Dados_Cliente!$B$28)+Dados_Cliente!$B$7,F290)</f>
        <v>1334.50937803276</v>
      </c>
    </row>
    <row r="292" spans="1:6">
      <c r="A292">
        <f t="shared" si="8"/>
        <v>290</v>
      </c>
      <c r="B292">
        <f t="shared" si="9"/>
        <v>24.1666666666667</v>
      </c>
      <c r="C292" s="2">
        <f>IF($A292&lt;=Dados_Cliente!$B$8*12,C291+Dados_Cliente!$B$7,C291)</f>
        <v>1300</v>
      </c>
      <c r="D292" s="2">
        <f>IF($A292&lt;=Dados_Cliente!$B$8*12,D291*(1+Dados_Cliente!$B$24)+Dados_Cliente!$B$7,D291)</f>
        <v>1366.26290359263</v>
      </c>
      <c r="E292" s="2">
        <f>IF($A292&lt;=Dados_Cliente!$B$8*12,E291*(1+Dados_Cliente!$B$27)+Dados_Cliente!$B$7,E291)</f>
        <v>1397.58801631734</v>
      </c>
      <c r="F292" s="2">
        <f>IF($A292&lt;=Dados_Cliente!$B$8*12,F291*(1+Dados_Cliente!$B$28)+Dados_Cliente!$B$7,F291)</f>
        <v>1334.50937803276</v>
      </c>
    </row>
    <row r="293" spans="1:6">
      <c r="A293">
        <f t="shared" si="8"/>
        <v>291</v>
      </c>
      <c r="B293">
        <f t="shared" si="9"/>
        <v>24.25</v>
      </c>
      <c r="C293" s="2">
        <f>IF($A293&lt;=Dados_Cliente!$B$8*12,C292+Dados_Cliente!$B$7,C292)</f>
        <v>1300</v>
      </c>
      <c r="D293" s="2">
        <f>IF($A293&lt;=Dados_Cliente!$B$8*12,D292*(1+Dados_Cliente!$B$24)+Dados_Cliente!$B$7,D292)</f>
        <v>1366.26290359263</v>
      </c>
      <c r="E293" s="2">
        <f>IF($A293&lt;=Dados_Cliente!$B$8*12,E292*(1+Dados_Cliente!$B$27)+Dados_Cliente!$B$7,E292)</f>
        <v>1397.58801631734</v>
      </c>
      <c r="F293" s="2">
        <f>IF($A293&lt;=Dados_Cliente!$B$8*12,F292*(1+Dados_Cliente!$B$28)+Dados_Cliente!$B$7,F292)</f>
        <v>1334.50937803276</v>
      </c>
    </row>
    <row r="294" spans="1:6">
      <c r="A294">
        <f t="shared" si="8"/>
        <v>292</v>
      </c>
      <c r="B294">
        <f t="shared" si="9"/>
        <v>24.3333333333333</v>
      </c>
      <c r="C294" s="2">
        <f>IF($A294&lt;=Dados_Cliente!$B$8*12,C293+Dados_Cliente!$B$7,C293)</f>
        <v>1300</v>
      </c>
      <c r="D294" s="2">
        <f>IF($A294&lt;=Dados_Cliente!$B$8*12,D293*(1+Dados_Cliente!$B$24)+Dados_Cliente!$B$7,D293)</f>
        <v>1366.26290359263</v>
      </c>
      <c r="E294" s="2">
        <f>IF($A294&lt;=Dados_Cliente!$B$8*12,E293*(1+Dados_Cliente!$B$27)+Dados_Cliente!$B$7,E293)</f>
        <v>1397.58801631734</v>
      </c>
      <c r="F294" s="2">
        <f>IF($A294&lt;=Dados_Cliente!$B$8*12,F293*(1+Dados_Cliente!$B$28)+Dados_Cliente!$B$7,F293)</f>
        <v>1334.50937803276</v>
      </c>
    </row>
    <row r="295" spans="1:6">
      <c r="A295">
        <f t="shared" si="8"/>
        <v>293</v>
      </c>
      <c r="B295">
        <f t="shared" si="9"/>
        <v>24.4166666666667</v>
      </c>
      <c r="C295" s="2">
        <f>IF($A295&lt;=Dados_Cliente!$B$8*12,C294+Dados_Cliente!$B$7,C294)</f>
        <v>1300</v>
      </c>
      <c r="D295" s="2">
        <f>IF($A295&lt;=Dados_Cliente!$B$8*12,D294*(1+Dados_Cliente!$B$24)+Dados_Cliente!$B$7,D294)</f>
        <v>1366.26290359263</v>
      </c>
      <c r="E295" s="2">
        <f>IF($A295&lt;=Dados_Cliente!$B$8*12,E294*(1+Dados_Cliente!$B$27)+Dados_Cliente!$B$7,E294)</f>
        <v>1397.58801631734</v>
      </c>
      <c r="F295" s="2">
        <f>IF($A295&lt;=Dados_Cliente!$B$8*12,F294*(1+Dados_Cliente!$B$28)+Dados_Cliente!$B$7,F294)</f>
        <v>1334.50937803276</v>
      </c>
    </row>
    <row r="296" spans="1:6">
      <c r="A296">
        <f t="shared" si="8"/>
        <v>294</v>
      </c>
      <c r="B296">
        <f t="shared" si="9"/>
        <v>24.5</v>
      </c>
      <c r="C296" s="2">
        <f>IF($A296&lt;=Dados_Cliente!$B$8*12,C295+Dados_Cliente!$B$7,C295)</f>
        <v>1300</v>
      </c>
      <c r="D296" s="2">
        <f>IF($A296&lt;=Dados_Cliente!$B$8*12,D295*(1+Dados_Cliente!$B$24)+Dados_Cliente!$B$7,D295)</f>
        <v>1366.26290359263</v>
      </c>
      <c r="E296" s="2">
        <f>IF($A296&lt;=Dados_Cliente!$B$8*12,E295*(1+Dados_Cliente!$B$27)+Dados_Cliente!$B$7,E295)</f>
        <v>1397.58801631734</v>
      </c>
      <c r="F296" s="2">
        <f>IF($A296&lt;=Dados_Cliente!$B$8*12,F295*(1+Dados_Cliente!$B$28)+Dados_Cliente!$B$7,F295)</f>
        <v>1334.50937803276</v>
      </c>
    </row>
    <row r="297" spans="1:6">
      <c r="A297">
        <f t="shared" si="8"/>
        <v>295</v>
      </c>
      <c r="B297">
        <f t="shared" si="9"/>
        <v>24.5833333333333</v>
      </c>
      <c r="C297" s="2">
        <f>IF($A297&lt;=Dados_Cliente!$B$8*12,C296+Dados_Cliente!$B$7,C296)</f>
        <v>1300</v>
      </c>
      <c r="D297" s="2">
        <f>IF($A297&lt;=Dados_Cliente!$B$8*12,D296*(1+Dados_Cliente!$B$24)+Dados_Cliente!$B$7,D296)</f>
        <v>1366.26290359263</v>
      </c>
      <c r="E297" s="2">
        <f>IF($A297&lt;=Dados_Cliente!$B$8*12,E296*(1+Dados_Cliente!$B$27)+Dados_Cliente!$B$7,E296)</f>
        <v>1397.58801631734</v>
      </c>
      <c r="F297" s="2">
        <f>IF($A297&lt;=Dados_Cliente!$B$8*12,F296*(1+Dados_Cliente!$B$28)+Dados_Cliente!$B$7,F296)</f>
        <v>1334.50937803276</v>
      </c>
    </row>
    <row r="298" spans="1:6">
      <c r="A298">
        <f t="shared" si="8"/>
        <v>296</v>
      </c>
      <c r="B298">
        <f t="shared" si="9"/>
        <v>24.6666666666667</v>
      </c>
      <c r="C298" s="2">
        <f>IF($A298&lt;=Dados_Cliente!$B$8*12,C297+Dados_Cliente!$B$7,C297)</f>
        <v>1300</v>
      </c>
      <c r="D298" s="2">
        <f>IF($A298&lt;=Dados_Cliente!$B$8*12,D297*(1+Dados_Cliente!$B$24)+Dados_Cliente!$B$7,D297)</f>
        <v>1366.26290359263</v>
      </c>
      <c r="E298" s="2">
        <f>IF($A298&lt;=Dados_Cliente!$B$8*12,E297*(1+Dados_Cliente!$B$27)+Dados_Cliente!$B$7,E297)</f>
        <v>1397.58801631734</v>
      </c>
      <c r="F298" s="2">
        <f>IF($A298&lt;=Dados_Cliente!$B$8*12,F297*(1+Dados_Cliente!$B$28)+Dados_Cliente!$B$7,F297)</f>
        <v>1334.50937803276</v>
      </c>
    </row>
    <row r="299" spans="1:6">
      <c r="A299">
        <f t="shared" si="8"/>
        <v>297</v>
      </c>
      <c r="B299">
        <f t="shared" si="9"/>
        <v>24.75</v>
      </c>
      <c r="C299" s="2">
        <f>IF($A299&lt;=Dados_Cliente!$B$8*12,C298+Dados_Cliente!$B$7,C298)</f>
        <v>1300</v>
      </c>
      <c r="D299" s="2">
        <f>IF($A299&lt;=Dados_Cliente!$B$8*12,D298*(1+Dados_Cliente!$B$24)+Dados_Cliente!$B$7,D298)</f>
        <v>1366.26290359263</v>
      </c>
      <c r="E299" s="2">
        <f>IF($A299&lt;=Dados_Cliente!$B$8*12,E298*(1+Dados_Cliente!$B$27)+Dados_Cliente!$B$7,E298)</f>
        <v>1397.58801631734</v>
      </c>
      <c r="F299" s="2">
        <f>IF($A299&lt;=Dados_Cliente!$B$8*12,F298*(1+Dados_Cliente!$B$28)+Dados_Cliente!$B$7,F298)</f>
        <v>1334.50937803276</v>
      </c>
    </row>
    <row r="300" spans="1:6">
      <c r="A300">
        <f t="shared" si="8"/>
        <v>298</v>
      </c>
      <c r="B300">
        <f t="shared" si="9"/>
        <v>24.8333333333333</v>
      </c>
      <c r="C300" s="2">
        <f>IF($A300&lt;=Dados_Cliente!$B$8*12,C299+Dados_Cliente!$B$7,C299)</f>
        <v>1300</v>
      </c>
      <c r="D300" s="2">
        <f>IF($A300&lt;=Dados_Cliente!$B$8*12,D299*(1+Dados_Cliente!$B$24)+Dados_Cliente!$B$7,D299)</f>
        <v>1366.26290359263</v>
      </c>
      <c r="E300" s="2">
        <f>IF($A300&lt;=Dados_Cliente!$B$8*12,E299*(1+Dados_Cliente!$B$27)+Dados_Cliente!$B$7,E299)</f>
        <v>1397.58801631734</v>
      </c>
      <c r="F300" s="2">
        <f>IF($A300&lt;=Dados_Cliente!$B$8*12,F299*(1+Dados_Cliente!$B$28)+Dados_Cliente!$B$7,F299)</f>
        <v>1334.50937803276</v>
      </c>
    </row>
    <row r="301" spans="1:6">
      <c r="A301">
        <f t="shared" si="8"/>
        <v>299</v>
      </c>
      <c r="B301">
        <f t="shared" si="9"/>
        <v>24.9166666666667</v>
      </c>
      <c r="C301" s="2">
        <f>IF($A301&lt;=Dados_Cliente!$B$8*12,C300+Dados_Cliente!$B$7,C300)</f>
        <v>1300</v>
      </c>
      <c r="D301" s="2">
        <f>IF($A301&lt;=Dados_Cliente!$B$8*12,D300*(1+Dados_Cliente!$B$24)+Dados_Cliente!$B$7,D300)</f>
        <v>1366.26290359263</v>
      </c>
      <c r="E301" s="2">
        <f>IF($A301&lt;=Dados_Cliente!$B$8*12,E300*(1+Dados_Cliente!$B$27)+Dados_Cliente!$B$7,E300)</f>
        <v>1397.58801631734</v>
      </c>
      <c r="F301" s="2">
        <f>IF($A301&lt;=Dados_Cliente!$B$8*12,F300*(1+Dados_Cliente!$B$28)+Dados_Cliente!$B$7,F300)</f>
        <v>1334.50937803276</v>
      </c>
    </row>
    <row r="302" spans="1:6">
      <c r="A302">
        <f t="shared" si="8"/>
        <v>300</v>
      </c>
      <c r="B302">
        <f t="shared" si="9"/>
        <v>25</v>
      </c>
      <c r="C302" s="2">
        <f>IF($A302&lt;=Dados_Cliente!$B$8*12,C301+Dados_Cliente!$B$7,C301)</f>
        <v>1300</v>
      </c>
      <c r="D302" s="2">
        <f>IF($A302&lt;=Dados_Cliente!$B$8*12,D301*(1+Dados_Cliente!$B$24)+Dados_Cliente!$B$7,D301)</f>
        <v>1366.26290359263</v>
      </c>
      <c r="E302" s="2">
        <f>IF($A302&lt;=Dados_Cliente!$B$8*12,E301*(1+Dados_Cliente!$B$27)+Dados_Cliente!$B$7,E301)</f>
        <v>1397.58801631734</v>
      </c>
      <c r="F302" s="2">
        <f>IF($A302&lt;=Dados_Cliente!$B$8*12,F301*(1+Dados_Cliente!$B$28)+Dados_Cliente!$B$7,F301)</f>
        <v>1334.50937803276</v>
      </c>
    </row>
    <row r="303" spans="1:6">
      <c r="A303">
        <f t="shared" si="8"/>
        <v>301</v>
      </c>
      <c r="B303">
        <f t="shared" si="9"/>
        <v>25.0833333333333</v>
      </c>
      <c r="C303" s="2">
        <f>IF($A303&lt;=Dados_Cliente!$B$8*12,C302+Dados_Cliente!$B$7,C302)</f>
        <v>1300</v>
      </c>
      <c r="D303" s="2">
        <f>IF($A303&lt;=Dados_Cliente!$B$8*12,D302*(1+Dados_Cliente!$B$24)+Dados_Cliente!$B$7,D302)</f>
        <v>1366.26290359263</v>
      </c>
      <c r="E303" s="2">
        <f>IF($A303&lt;=Dados_Cliente!$B$8*12,E302*(1+Dados_Cliente!$B$27)+Dados_Cliente!$B$7,E302)</f>
        <v>1397.58801631734</v>
      </c>
      <c r="F303" s="2">
        <f>IF($A303&lt;=Dados_Cliente!$B$8*12,F302*(1+Dados_Cliente!$B$28)+Dados_Cliente!$B$7,F302)</f>
        <v>1334.50937803276</v>
      </c>
    </row>
    <row r="304" spans="1:6">
      <c r="A304">
        <f t="shared" si="8"/>
        <v>302</v>
      </c>
      <c r="B304">
        <f t="shared" si="9"/>
        <v>25.1666666666667</v>
      </c>
      <c r="C304" s="2">
        <f>IF($A304&lt;=Dados_Cliente!$B$8*12,C303+Dados_Cliente!$B$7,C303)</f>
        <v>1300</v>
      </c>
      <c r="D304" s="2">
        <f>IF($A304&lt;=Dados_Cliente!$B$8*12,D303*(1+Dados_Cliente!$B$24)+Dados_Cliente!$B$7,D303)</f>
        <v>1366.26290359263</v>
      </c>
      <c r="E304" s="2">
        <f>IF($A304&lt;=Dados_Cliente!$B$8*12,E303*(1+Dados_Cliente!$B$27)+Dados_Cliente!$B$7,E303)</f>
        <v>1397.58801631734</v>
      </c>
      <c r="F304" s="2">
        <f>IF($A304&lt;=Dados_Cliente!$B$8*12,F303*(1+Dados_Cliente!$B$28)+Dados_Cliente!$B$7,F303)</f>
        <v>1334.50937803276</v>
      </c>
    </row>
    <row r="305" spans="1:6">
      <c r="A305">
        <f t="shared" si="8"/>
        <v>303</v>
      </c>
      <c r="B305">
        <f t="shared" si="9"/>
        <v>25.25</v>
      </c>
      <c r="C305" s="2">
        <f>IF($A305&lt;=Dados_Cliente!$B$8*12,C304+Dados_Cliente!$B$7,C304)</f>
        <v>1300</v>
      </c>
      <c r="D305" s="2">
        <f>IF($A305&lt;=Dados_Cliente!$B$8*12,D304*(1+Dados_Cliente!$B$24)+Dados_Cliente!$B$7,D304)</f>
        <v>1366.26290359263</v>
      </c>
      <c r="E305" s="2">
        <f>IF($A305&lt;=Dados_Cliente!$B$8*12,E304*(1+Dados_Cliente!$B$27)+Dados_Cliente!$B$7,E304)</f>
        <v>1397.58801631734</v>
      </c>
      <c r="F305" s="2">
        <f>IF($A305&lt;=Dados_Cliente!$B$8*12,F304*(1+Dados_Cliente!$B$28)+Dados_Cliente!$B$7,F304)</f>
        <v>1334.50937803276</v>
      </c>
    </row>
    <row r="306" spans="1:6">
      <c r="A306">
        <f t="shared" si="8"/>
        <v>304</v>
      </c>
      <c r="B306">
        <f t="shared" si="9"/>
        <v>25.3333333333333</v>
      </c>
      <c r="C306" s="2">
        <f>IF($A306&lt;=Dados_Cliente!$B$8*12,C305+Dados_Cliente!$B$7,C305)</f>
        <v>1300</v>
      </c>
      <c r="D306" s="2">
        <f>IF($A306&lt;=Dados_Cliente!$B$8*12,D305*(1+Dados_Cliente!$B$24)+Dados_Cliente!$B$7,D305)</f>
        <v>1366.26290359263</v>
      </c>
      <c r="E306" s="2">
        <f>IF($A306&lt;=Dados_Cliente!$B$8*12,E305*(1+Dados_Cliente!$B$27)+Dados_Cliente!$B$7,E305)</f>
        <v>1397.58801631734</v>
      </c>
      <c r="F306" s="2">
        <f>IF($A306&lt;=Dados_Cliente!$B$8*12,F305*(1+Dados_Cliente!$B$28)+Dados_Cliente!$B$7,F305)</f>
        <v>1334.50937803276</v>
      </c>
    </row>
    <row r="307" spans="1:6">
      <c r="A307">
        <f t="shared" si="8"/>
        <v>305</v>
      </c>
      <c r="B307">
        <f t="shared" si="9"/>
        <v>25.4166666666667</v>
      </c>
      <c r="C307" s="2">
        <f>IF($A307&lt;=Dados_Cliente!$B$8*12,C306+Dados_Cliente!$B$7,C306)</f>
        <v>1300</v>
      </c>
      <c r="D307" s="2">
        <f>IF($A307&lt;=Dados_Cliente!$B$8*12,D306*(1+Dados_Cliente!$B$24)+Dados_Cliente!$B$7,D306)</f>
        <v>1366.26290359263</v>
      </c>
      <c r="E307" s="2">
        <f>IF($A307&lt;=Dados_Cliente!$B$8*12,E306*(1+Dados_Cliente!$B$27)+Dados_Cliente!$B$7,E306)</f>
        <v>1397.58801631734</v>
      </c>
      <c r="F307" s="2">
        <f>IF($A307&lt;=Dados_Cliente!$B$8*12,F306*(1+Dados_Cliente!$B$28)+Dados_Cliente!$B$7,F306)</f>
        <v>1334.50937803276</v>
      </c>
    </row>
    <row r="308" spans="1:6">
      <c r="A308">
        <f t="shared" si="8"/>
        <v>306</v>
      </c>
      <c r="B308">
        <f t="shared" si="9"/>
        <v>25.5</v>
      </c>
      <c r="C308" s="2">
        <f>IF($A308&lt;=Dados_Cliente!$B$8*12,C307+Dados_Cliente!$B$7,C307)</f>
        <v>1300</v>
      </c>
      <c r="D308" s="2">
        <f>IF($A308&lt;=Dados_Cliente!$B$8*12,D307*(1+Dados_Cliente!$B$24)+Dados_Cliente!$B$7,D307)</f>
        <v>1366.26290359263</v>
      </c>
      <c r="E308" s="2">
        <f>IF($A308&lt;=Dados_Cliente!$B$8*12,E307*(1+Dados_Cliente!$B$27)+Dados_Cliente!$B$7,E307)</f>
        <v>1397.58801631734</v>
      </c>
      <c r="F308" s="2">
        <f>IF($A308&lt;=Dados_Cliente!$B$8*12,F307*(1+Dados_Cliente!$B$28)+Dados_Cliente!$B$7,F307)</f>
        <v>1334.50937803276</v>
      </c>
    </row>
    <row r="309" spans="1:6">
      <c r="A309">
        <f t="shared" si="8"/>
        <v>307</v>
      </c>
      <c r="B309">
        <f t="shared" si="9"/>
        <v>25.5833333333333</v>
      </c>
      <c r="C309" s="2">
        <f>IF($A309&lt;=Dados_Cliente!$B$8*12,C308+Dados_Cliente!$B$7,C308)</f>
        <v>1300</v>
      </c>
      <c r="D309" s="2">
        <f>IF($A309&lt;=Dados_Cliente!$B$8*12,D308*(1+Dados_Cliente!$B$24)+Dados_Cliente!$B$7,D308)</f>
        <v>1366.26290359263</v>
      </c>
      <c r="E309" s="2">
        <f>IF($A309&lt;=Dados_Cliente!$B$8*12,E308*(1+Dados_Cliente!$B$27)+Dados_Cliente!$B$7,E308)</f>
        <v>1397.58801631734</v>
      </c>
      <c r="F309" s="2">
        <f>IF($A309&lt;=Dados_Cliente!$B$8*12,F308*(1+Dados_Cliente!$B$28)+Dados_Cliente!$B$7,F308)</f>
        <v>1334.50937803276</v>
      </c>
    </row>
    <row r="310" spans="1:6">
      <c r="A310">
        <f t="shared" si="8"/>
        <v>308</v>
      </c>
      <c r="B310">
        <f t="shared" si="9"/>
        <v>25.6666666666667</v>
      </c>
      <c r="C310" s="2">
        <f>IF($A310&lt;=Dados_Cliente!$B$8*12,C309+Dados_Cliente!$B$7,C309)</f>
        <v>1300</v>
      </c>
      <c r="D310" s="2">
        <f>IF($A310&lt;=Dados_Cliente!$B$8*12,D309*(1+Dados_Cliente!$B$24)+Dados_Cliente!$B$7,D309)</f>
        <v>1366.26290359263</v>
      </c>
      <c r="E310" s="2">
        <f>IF($A310&lt;=Dados_Cliente!$B$8*12,E309*(1+Dados_Cliente!$B$27)+Dados_Cliente!$B$7,E309)</f>
        <v>1397.58801631734</v>
      </c>
      <c r="F310" s="2">
        <f>IF($A310&lt;=Dados_Cliente!$B$8*12,F309*(1+Dados_Cliente!$B$28)+Dados_Cliente!$B$7,F309)</f>
        <v>1334.50937803276</v>
      </c>
    </row>
    <row r="311" spans="1:6">
      <c r="A311">
        <f t="shared" si="8"/>
        <v>309</v>
      </c>
      <c r="B311">
        <f t="shared" si="9"/>
        <v>25.75</v>
      </c>
      <c r="C311" s="2">
        <f>IF($A311&lt;=Dados_Cliente!$B$8*12,C310+Dados_Cliente!$B$7,C310)</f>
        <v>1300</v>
      </c>
      <c r="D311" s="2">
        <f>IF($A311&lt;=Dados_Cliente!$B$8*12,D310*(1+Dados_Cliente!$B$24)+Dados_Cliente!$B$7,D310)</f>
        <v>1366.26290359263</v>
      </c>
      <c r="E311" s="2">
        <f>IF($A311&lt;=Dados_Cliente!$B$8*12,E310*(1+Dados_Cliente!$B$27)+Dados_Cliente!$B$7,E310)</f>
        <v>1397.58801631734</v>
      </c>
      <c r="F311" s="2">
        <f>IF($A311&lt;=Dados_Cliente!$B$8*12,F310*(1+Dados_Cliente!$B$28)+Dados_Cliente!$B$7,F310)</f>
        <v>1334.50937803276</v>
      </c>
    </row>
    <row r="312" spans="1:6">
      <c r="A312">
        <f t="shared" si="8"/>
        <v>310</v>
      </c>
      <c r="B312">
        <f t="shared" si="9"/>
        <v>25.8333333333333</v>
      </c>
      <c r="C312" s="2">
        <f>IF($A312&lt;=Dados_Cliente!$B$8*12,C311+Dados_Cliente!$B$7,C311)</f>
        <v>1300</v>
      </c>
      <c r="D312" s="2">
        <f>IF($A312&lt;=Dados_Cliente!$B$8*12,D311*(1+Dados_Cliente!$B$24)+Dados_Cliente!$B$7,D311)</f>
        <v>1366.26290359263</v>
      </c>
      <c r="E312" s="2">
        <f>IF($A312&lt;=Dados_Cliente!$B$8*12,E311*(1+Dados_Cliente!$B$27)+Dados_Cliente!$B$7,E311)</f>
        <v>1397.58801631734</v>
      </c>
      <c r="F312" s="2">
        <f>IF($A312&lt;=Dados_Cliente!$B$8*12,F311*(1+Dados_Cliente!$B$28)+Dados_Cliente!$B$7,F311)</f>
        <v>1334.50937803276</v>
      </c>
    </row>
    <row r="313" spans="1:6">
      <c r="A313">
        <f t="shared" si="8"/>
        <v>311</v>
      </c>
      <c r="B313">
        <f t="shared" si="9"/>
        <v>25.9166666666667</v>
      </c>
      <c r="C313" s="2">
        <f>IF($A313&lt;=Dados_Cliente!$B$8*12,C312+Dados_Cliente!$B$7,C312)</f>
        <v>1300</v>
      </c>
      <c r="D313" s="2">
        <f>IF($A313&lt;=Dados_Cliente!$B$8*12,D312*(1+Dados_Cliente!$B$24)+Dados_Cliente!$B$7,D312)</f>
        <v>1366.26290359263</v>
      </c>
      <c r="E313" s="2">
        <f>IF($A313&lt;=Dados_Cliente!$B$8*12,E312*(1+Dados_Cliente!$B$27)+Dados_Cliente!$B$7,E312)</f>
        <v>1397.58801631734</v>
      </c>
      <c r="F313" s="2">
        <f>IF($A313&lt;=Dados_Cliente!$B$8*12,F312*(1+Dados_Cliente!$B$28)+Dados_Cliente!$B$7,F312)</f>
        <v>1334.50937803276</v>
      </c>
    </row>
    <row r="314" spans="1:6">
      <c r="A314">
        <f t="shared" si="8"/>
        <v>312</v>
      </c>
      <c r="B314">
        <f t="shared" si="9"/>
        <v>26</v>
      </c>
      <c r="C314" s="2">
        <f>IF($A314&lt;=Dados_Cliente!$B$8*12,C313+Dados_Cliente!$B$7,C313)</f>
        <v>1300</v>
      </c>
      <c r="D314" s="2">
        <f>IF($A314&lt;=Dados_Cliente!$B$8*12,D313*(1+Dados_Cliente!$B$24)+Dados_Cliente!$B$7,D313)</f>
        <v>1366.26290359263</v>
      </c>
      <c r="E314" s="2">
        <f>IF($A314&lt;=Dados_Cliente!$B$8*12,E313*(1+Dados_Cliente!$B$27)+Dados_Cliente!$B$7,E313)</f>
        <v>1397.58801631734</v>
      </c>
      <c r="F314" s="2">
        <f>IF($A314&lt;=Dados_Cliente!$B$8*12,F313*(1+Dados_Cliente!$B$28)+Dados_Cliente!$B$7,F313)</f>
        <v>1334.50937803276</v>
      </c>
    </row>
    <row r="315" spans="1:6">
      <c r="A315">
        <f t="shared" si="8"/>
        <v>313</v>
      </c>
      <c r="B315">
        <f t="shared" si="9"/>
        <v>26.0833333333333</v>
      </c>
      <c r="C315" s="2">
        <f>IF($A315&lt;=Dados_Cliente!$B$8*12,C314+Dados_Cliente!$B$7,C314)</f>
        <v>1300</v>
      </c>
      <c r="D315" s="2">
        <f>IF($A315&lt;=Dados_Cliente!$B$8*12,D314*(1+Dados_Cliente!$B$24)+Dados_Cliente!$B$7,D314)</f>
        <v>1366.26290359263</v>
      </c>
      <c r="E315" s="2">
        <f>IF($A315&lt;=Dados_Cliente!$B$8*12,E314*(1+Dados_Cliente!$B$27)+Dados_Cliente!$B$7,E314)</f>
        <v>1397.58801631734</v>
      </c>
      <c r="F315" s="2">
        <f>IF($A315&lt;=Dados_Cliente!$B$8*12,F314*(1+Dados_Cliente!$B$28)+Dados_Cliente!$B$7,F314)</f>
        <v>1334.50937803276</v>
      </c>
    </row>
    <row r="316" spans="1:6">
      <c r="A316">
        <f t="shared" si="8"/>
        <v>314</v>
      </c>
      <c r="B316">
        <f t="shared" si="9"/>
        <v>26.1666666666667</v>
      </c>
      <c r="C316" s="2">
        <f>IF($A316&lt;=Dados_Cliente!$B$8*12,C315+Dados_Cliente!$B$7,C315)</f>
        <v>1300</v>
      </c>
      <c r="D316" s="2">
        <f>IF($A316&lt;=Dados_Cliente!$B$8*12,D315*(1+Dados_Cliente!$B$24)+Dados_Cliente!$B$7,D315)</f>
        <v>1366.26290359263</v>
      </c>
      <c r="E316" s="2">
        <f>IF($A316&lt;=Dados_Cliente!$B$8*12,E315*(1+Dados_Cliente!$B$27)+Dados_Cliente!$B$7,E315)</f>
        <v>1397.58801631734</v>
      </c>
      <c r="F316" s="2">
        <f>IF($A316&lt;=Dados_Cliente!$B$8*12,F315*(1+Dados_Cliente!$B$28)+Dados_Cliente!$B$7,F315)</f>
        <v>1334.50937803276</v>
      </c>
    </row>
    <row r="317" spans="1:6">
      <c r="A317">
        <f t="shared" si="8"/>
        <v>315</v>
      </c>
      <c r="B317">
        <f t="shared" si="9"/>
        <v>26.25</v>
      </c>
      <c r="C317" s="2">
        <f>IF($A317&lt;=Dados_Cliente!$B$8*12,C316+Dados_Cliente!$B$7,C316)</f>
        <v>1300</v>
      </c>
      <c r="D317" s="2">
        <f>IF($A317&lt;=Dados_Cliente!$B$8*12,D316*(1+Dados_Cliente!$B$24)+Dados_Cliente!$B$7,D316)</f>
        <v>1366.26290359263</v>
      </c>
      <c r="E317" s="2">
        <f>IF($A317&lt;=Dados_Cliente!$B$8*12,E316*(1+Dados_Cliente!$B$27)+Dados_Cliente!$B$7,E316)</f>
        <v>1397.58801631734</v>
      </c>
      <c r="F317" s="2">
        <f>IF($A317&lt;=Dados_Cliente!$B$8*12,F316*(1+Dados_Cliente!$B$28)+Dados_Cliente!$B$7,F316)</f>
        <v>1334.50937803276</v>
      </c>
    </row>
    <row r="318" spans="1:6">
      <c r="A318">
        <f t="shared" si="8"/>
        <v>316</v>
      </c>
      <c r="B318">
        <f t="shared" si="9"/>
        <v>26.3333333333333</v>
      </c>
      <c r="C318" s="2">
        <f>IF($A318&lt;=Dados_Cliente!$B$8*12,C317+Dados_Cliente!$B$7,C317)</f>
        <v>1300</v>
      </c>
      <c r="D318" s="2">
        <f>IF($A318&lt;=Dados_Cliente!$B$8*12,D317*(1+Dados_Cliente!$B$24)+Dados_Cliente!$B$7,D317)</f>
        <v>1366.26290359263</v>
      </c>
      <c r="E318" s="2">
        <f>IF($A318&lt;=Dados_Cliente!$B$8*12,E317*(1+Dados_Cliente!$B$27)+Dados_Cliente!$B$7,E317)</f>
        <v>1397.58801631734</v>
      </c>
      <c r="F318" s="2">
        <f>IF($A318&lt;=Dados_Cliente!$B$8*12,F317*(1+Dados_Cliente!$B$28)+Dados_Cliente!$B$7,F317)</f>
        <v>1334.50937803276</v>
      </c>
    </row>
    <row r="319" spans="1:6">
      <c r="A319">
        <f t="shared" si="8"/>
        <v>317</v>
      </c>
      <c r="B319">
        <f t="shared" si="9"/>
        <v>26.4166666666667</v>
      </c>
      <c r="C319" s="2">
        <f>IF($A319&lt;=Dados_Cliente!$B$8*12,C318+Dados_Cliente!$B$7,C318)</f>
        <v>1300</v>
      </c>
      <c r="D319" s="2">
        <f>IF($A319&lt;=Dados_Cliente!$B$8*12,D318*(1+Dados_Cliente!$B$24)+Dados_Cliente!$B$7,D318)</f>
        <v>1366.26290359263</v>
      </c>
      <c r="E319" s="2">
        <f>IF($A319&lt;=Dados_Cliente!$B$8*12,E318*(1+Dados_Cliente!$B$27)+Dados_Cliente!$B$7,E318)</f>
        <v>1397.58801631734</v>
      </c>
      <c r="F319" s="2">
        <f>IF($A319&lt;=Dados_Cliente!$B$8*12,F318*(1+Dados_Cliente!$B$28)+Dados_Cliente!$B$7,F318)</f>
        <v>1334.50937803276</v>
      </c>
    </row>
    <row r="320" spans="1:6">
      <c r="A320">
        <f t="shared" si="8"/>
        <v>318</v>
      </c>
      <c r="B320">
        <f t="shared" si="9"/>
        <v>26.5</v>
      </c>
      <c r="C320" s="2">
        <f>IF($A320&lt;=Dados_Cliente!$B$8*12,C319+Dados_Cliente!$B$7,C319)</f>
        <v>1300</v>
      </c>
      <c r="D320" s="2">
        <f>IF($A320&lt;=Dados_Cliente!$B$8*12,D319*(1+Dados_Cliente!$B$24)+Dados_Cliente!$B$7,D319)</f>
        <v>1366.26290359263</v>
      </c>
      <c r="E320" s="2">
        <f>IF($A320&lt;=Dados_Cliente!$B$8*12,E319*(1+Dados_Cliente!$B$27)+Dados_Cliente!$B$7,E319)</f>
        <v>1397.58801631734</v>
      </c>
      <c r="F320" s="2">
        <f>IF($A320&lt;=Dados_Cliente!$B$8*12,F319*(1+Dados_Cliente!$B$28)+Dados_Cliente!$B$7,F319)</f>
        <v>1334.50937803276</v>
      </c>
    </row>
    <row r="321" spans="1:6">
      <c r="A321">
        <f t="shared" si="8"/>
        <v>319</v>
      </c>
      <c r="B321">
        <f t="shared" si="9"/>
        <v>26.5833333333333</v>
      </c>
      <c r="C321" s="2">
        <f>IF($A321&lt;=Dados_Cliente!$B$8*12,C320+Dados_Cliente!$B$7,C320)</f>
        <v>1300</v>
      </c>
      <c r="D321" s="2">
        <f>IF($A321&lt;=Dados_Cliente!$B$8*12,D320*(1+Dados_Cliente!$B$24)+Dados_Cliente!$B$7,D320)</f>
        <v>1366.26290359263</v>
      </c>
      <c r="E321" s="2">
        <f>IF($A321&lt;=Dados_Cliente!$B$8*12,E320*(1+Dados_Cliente!$B$27)+Dados_Cliente!$B$7,E320)</f>
        <v>1397.58801631734</v>
      </c>
      <c r="F321" s="2">
        <f>IF($A321&lt;=Dados_Cliente!$B$8*12,F320*(1+Dados_Cliente!$B$28)+Dados_Cliente!$B$7,F320)</f>
        <v>1334.50937803276</v>
      </c>
    </row>
    <row r="322" spans="1:6">
      <c r="A322">
        <f t="shared" si="8"/>
        <v>320</v>
      </c>
      <c r="B322">
        <f t="shared" si="9"/>
        <v>26.6666666666667</v>
      </c>
      <c r="C322" s="2">
        <f>IF($A322&lt;=Dados_Cliente!$B$8*12,C321+Dados_Cliente!$B$7,C321)</f>
        <v>1300</v>
      </c>
      <c r="D322" s="2">
        <f>IF($A322&lt;=Dados_Cliente!$B$8*12,D321*(1+Dados_Cliente!$B$24)+Dados_Cliente!$B$7,D321)</f>
        <v>1366.26290359263</v>
      </c>
      <c r="E322" s="2">
        <f>IF($A322&lt;=Dados_Cliente!$B$8*12,E321*(1+Dados_Cliente!$B$27)+Dados_Cliente!$B$7,E321)</f>
        <v>1397.58801631734</v>
      </c>
      <c r="F322" s="2">
        <f>IF($A322&lt;=Dados_Cliente!$B$8*12,F321*(1+Dados_Cliente!$B$28)+Dados_Cliente!$B$7,F321)</f>
        <v>1334.50937803276</v>
      </c>
    </row>
    <row r="323" spans="1:6">
      <c r="A323">
        <f t="shared" ref="A323:A362" si="10">A322+1</f>
        <v>321</v>
      </c>
      <c r="B323">
        <f t="shared" ref="B323:B362" si="11">A323/12</f>
        <v>26.75</v>
      </c>
      <c r="C323" s="2">
        <f>IF($A323&lt;=Dados_Cliente!$B$8*12,C322+Dados_Cliente!$B$7,C322)</f>
        <v>1300</v>
      </c>
      <c r="D323" s="2">
        <f>IF($A323&lt;=Dados_Cliente!$B$8*12,D322*(1+Dados_Cliente!$B$24)+Dados_Cliente!$B$7,D322)</f>
        <v>1366.26290359263</v>
      </c>
      <c r="E323" s="2">
        <f>IF($A323&lt;=Dados_Cliente!$B$8*12,E322*(1+Dados_Cliente!$B$27)+Dados_Cliente!$B$7,E322)</f>
        <v>1397.58801631734</v>
      </c>
      <c r="F323" s="2">
        <f>IF($A323&lt;=Dados_Cliente!$B$8*12,F322*(1+Dados_Cliente!$B$28)+Dados_Cliente!$B$7,F322)</f>
        <v>1334.50937803276</v>
      </c>
    </row>
    <row r="324" spans="1:6">
      <c r="A324">
        <f t="shared" si="10"/>
        <v>322</v>
      </c>
      <c r="B324">
        <f t="shared" si="11"/>
        <v>26.8333333333333</v>
      </c>
      <c r="C324" s="2">
        <f>IF($A324&lt;=Dados_Cliente!$B$8*12,C323+Dados_Cliente!$B$7,C323)</f>
        <v>1300</v>
      </c>
      <c r="D324" s="2">
        <f>IF($A324&lt;=Dados_Cliente!$B$8*12,D323*(1+Dados_Cliente!$B$24)+Dados_Cliente!$B$7,D323)</f>
        <v>1366.26290359263</v>
      </c>
      <c r="E324" s="2">
        <f>IF($A324&lt;=Dados_Cliente!$B$8*12,E323*(1+Dados_Cliente!$B$27)+Dados_Cliente!$B$7,E323)</f>
        <v>1397.58801631734</v>
      </c>
      <c r="F324" s="2">
        <f>IF($A324&lt;=Dados_Cliente!$B$8*12,F323*(1+Dados_Cliente!$B$28)+Dados_Cliente!$B$7,F323)</f>
        <v>1334.50937803276</v>
      </c>
    </row>
    <row r="325" spans="1:6">
      <c r="A325">
        <f t="shared" si="10"/>
        <v>323</v>
      </c>
      <c r="B325">
        <f t="shared" si="11"/>
        <v>26.9166666666667</v>
      </c>
      <c r="C325" s="2">
        <f>IF($A325&lt;=Dados_Cliente!$B$8*12,C324+Dados_Cliente!$B$7,C324)</f>
        <v>1300</v>
      </c>
      <c r="D325" s="2">
        <f>IF($A325&lt;=Dados_Cliente!$B$8*12,D324*(1+Dados_Cliente!$B$24)+Dados_Cliente!$B$7,D324)</f>
        <v>1366.26290359263</v>
      </c>
      <c r="E325" s="2">
        <f>IF($A325&lt;=Dados_Cliente!$B$8*12,E324*(1+Dados_Cliente!$B$27)+Dados_Cliente!$B$7,E324)</f>
        <v>1397.58801631734</v>
      </c>
      <c r="F325" s="2">
        <f>IF($A325&lt;=Dados_Cliente!$B$8*12,F324*(1+Dados_Cliente!$B$28)+Dados_Cliente!$B$7,F324)</f>
        <v>1334.50937803276</v>
      </c>
    </row>
    <row r="326" spans="1:6">
      <c r="A326">
        <f t="shared" si="10"/>
        <v>324</v>
      </c>
      <c r="B326">
        <f t="shared" si="11"/>
        <v>27</v>
      </c>
      <c r="C326" s="2">
        <f>IF($A326&lt;=Dados_Cliente!$B$8*12,C325+Dados_Cliente!$B$7,C325)</f>
        <v>1300</v>
      </c>
      <c r="D326" s="2">
        <f>IF($A326&lt;=Dados_Cliente!$B$8*12,D325*(1+Dados_Cliente!$B$24)+Dados_Cliente!$B$7,D325)</f>
        <v>1366.26290359263</v>
      </c>
      <c r="E326" s="2">
        <f>IF($A326&lt;=Dados_Cliente!$B$8*12,E325*(1+Dados_Cliente!$B$27)+Dados_Cliente!$B$7,E325)</f>
        <v>1397.58801631734</v>
      </c>
      <c r="F326" s="2">
        <f>IF($A326&lt;=Dados_Cliente!$B$8*12,F325*(1+Dados_Cliente!$B$28)+Dados_Cliente!$B$7,F325)</f>
        <v>1334.50937803276</v>
      </c>
    </row>
    <row r="327" spans="1:6">
      <c r="A327">
        <f t="shared" si="10"/>
        <v>325</v>
      </c>
      <c r="B327">
        <f t="shared" si="11"/>
        <v>27.0833333333333</v>
      </c>
      <c r="C327" s="2">
        <f>IF($A327&lt;=Dados_Cliente!$B$8*12,C326+Dados_Cliente!$B$7,C326)</f>
        <v>1300</v>
      </c>
      <c r="D327" s="2">
        <f>IF($A327&lt;=Dados_Cliente!$B$8*12,D326*(1+Dados_Cliente!$B$24)+Dados_Cliente!$B$7,D326)</f>
        <v>1366.26290359263</v>
      </c>
      <c r="E327" s="2">
        <f>IF($A327&lt;=Dados_Cliente!$B$8*12,E326*(1+Dados_Cliente!$B$27)+Dados_Cliente!$B$7,E326)</f>
        <v>1397.58801631734</v>
      </c>
      <c r="F327" s="2">
        <f>IF($A327&lt;=Dados_Cliente!$B$8*12,F326*(1+Dados_Cliente!$B$28)+Dados_Cliente!$B$7,F326)</f>
        <v>1334.50937803276</v>
      </c>
    </row>
    <row r="328" spans="1:6">
      <c r="A328">
        <f t="shared" si="10"/>
        <v>326</v>
      </c>
      <c r="B328">
        <f t="shared" si="11"/>
        <v>27.1666666666667</v>
      </c>
      <c r="C328" s="2">
        <f>IF($A328&lt;=Dados_Cliente!$B$8*12,C327+Dados_Cliente!$B$7,C327)</f>
        <v>1300</v>
      </c>
      <c r="D328" s="2">
        <f>IF($A328&lt;=Dados_Cliente!$B$8*12,D327*(1+Dados_Cliente!$B$24)+Dados_Cliente!$B$7,D327)</f>
        <v>1366.26290359263</v>
      </c>
      <c r="E328" s="2">
        <f>IF($A328&lt;=Dados_Cliente!$B$8*12,E327*(1+Dados_Cliente!$B$27)+Dados_Cliente!$B$7,E327)</f>
        <v>1397.58801631734</v>
      </c>
      <c r="F328" s="2">
        <f>IF($A328&lt;=Dados_Cliente!$B$8*12,F327*(1+Dados_Cliente!$B$28)+Dados_Cliente!$B$7,F327)</f>
        <v>1334.50937803276</v>
      </c>
    </row>
    <row r="329" spans="1:6">
      <c r="A329">
        <f t="shared" si="10"/>
        <v>327</v>
      </c>
      <c r="B329">
        <f t="shared" si="11"/>
        <v>27.25</v>
      </c>
      <c r="C329" s="2">
        <f>IF($A329&lt;=Dados_Cliente!$B$8*12,C328+Dados_Cliente!$B$7,C328)</f>
        <v>1300</v>
      </c>
      <c r="D329" s="2">
        <f>IF($A329&lt;=Dados_Cliente!$B$8*12,D328*(1+Dados_Cliente!$B$24)+Dados_Cliente!$B$7,D328)</f>
        <v>1366.26290359263</v>
      </c>
      <c r="E329" s="2">
        <f>IF($A329&lt;=Dados_Cliente!$B$8*12,E328*(1+Dados_Cliente!$B$27)+Dados_Cliente!$B$7,E328)</f>
        <v>1397.58801631734</v>
      </c>
      <c r="F329" s="2">
        <f>IF($A329&lt;=Dados_Cliente!$B$8*12,F328*(1+Dados_Cliente!$B$28)+Dados_Cliente!$B$7,F328)</f>
        <v>1334.50937803276</v>
      </c>
    </row>
    <row r="330" spans="1:6">
      <c r="A330">
        <f t="shared" si="10"/>
        <v>328</v>
      </c>
      <c r="B330">
        <f t="shared" si="11"/>
        <v>27.3333333333333</v>
      </c>
      <c r="C330" s="2">
        <f>IF($A330&lt;=Dados_Cliente!$B$8*12,C329+Dados_Cliente!$B$7,C329)</f>
        <v>1300</v>
      </c>
      <c r="D330" s="2">
        <f>IF($A330&lt;=Dados_Cliente!$B$8*12,D329*(1+Dados_Cliente!$B$24)+Dados_Cliente!$B$7,D329)</f>
        <v>1366.26290359263</v>
      </c>
      <c r="E330" s="2">
        <f>IF($A330&lt;=Dados_Cliente!$B$8*12,E329*(1+Dados_Cliente!$B$27)+Dados_Cliente!$B$7,E329)</f>
        <v>1397.58801631734</v>
      </c>
      <c r="F330" s="2">
        <f>IF($A330&lt;=Dados_Cliente!$B$8*12,F329*(1+Dados_Cliente!$B$28)+Dados_Cliente!$B$7,F329)</f>
        <v>1334.50937803276</v>
      </c>
    </row>
    <row r="331" spans="1:6">
      <c r="A331">
        <f t="shared" si="10"/>
        <v>329</v>
      </c>
      <c r="B331">
        <f t="shared" si="11"/>
        <v>27.4166666666667</v>
      </c>
      <c r="C331" s="2">
        <f>IF($A331&lt;=Dados_Cliente!$B$8*12,C330+Dados_Cliente!$B$7,C330)</f>
        <v>1300</v>
      </c>
      <c r="D331" s="2">
        <f>IF($A331&lt;=Dados_Cliente!$B$8*12,D330*(1+Dados_Cliente!$B$24)+Dados_Cliente!$B$7,D330)</f>
        <v>1366.26290359263</v>
      </c>
      <c r="E331" s="2">
        <f>IF($A331&lt;=Dados_Cliente!$B$8*12,E330*(1+Dados_Cliente!$B$27)+Dados_Cliente!$B$7,E330)</f>
        <v>1397.58801631734</v>
      </c>
      <c r="F331" s="2">
        <f>IF($A331&lt;=Dados_Cliente!$B$8*12,F330*(1+Dados_Cliente!$B$28)+Dados_Cliente!$B$7,F330)</f>
        <v>1334.50937803276</v>
      </c>
    </row>
    <row r="332" spans="1:6">
      <c r="A332">
        <f t="shared" si="10"/>
        <v>330</v>
      </c>
      <c r="B332">
        <f t="shared" si="11"/>
        <v>27.5</v>
      </c>
      <c r="C332" s="2">
        <f>IF($A332&lt;=Dados_Cliente!$B$8*12,C331+Dados_Cliente!$B$7,C331)</f>
        <v>1300</v>
      </c>
      <c r="D332" s="2">
        <f>IF($A332&lt;=Dados_Cliente!$B$8*12,D331*(1+Dados_Cliente!$B$24)+Dados_Cliente!$B$7,D331)</f>
        <v>1366.26290359263</v>
      </c>
      <c r="E332" s="2">
        <f>IF($A332&lt;=Dados_Cliente!$B$8*12,E331*(1+Dados_Cliente!$B$27)+Dados_Cliente!$B$7,E331)</f>
        <v>1397.58801631734</v>
      </c>
      <c r="F332" s="2">
        <f>IF($A332&lt;=Dados_Cliente!$B$8*12,F331*(1+Dados_Cliente!$B$28)+Dados_Cliente!$B$7,F331)</f>
        <v>1334.50937803276</v>
      </c>
    </row>
    <row r="333" spans="1:6">
      <c r="A333">
        <f t="shared" si="10"/>
        <v>331</v>
      </c>
      <c r="B333">
        <f t="shared" si="11"/>
        <v>27.5833333333333</v>
      </c>
      <c r="C333" s="2">
        <f>IF($A333&lt;=Dados_Cliente!$B$8*12,C332+Dados_Cliente!$B$7,C332)</f>
        <v>1300</v>
      </c>
      <c r="D333" s="2">
        <f>IF($A333&lt;=Dados_Cliente!$B$8*12,D332*(1+Dados_Cliente!$B$24)+Dados_Cliente!$B$7,D332)</f>
        <v>1366.26290359263</v>
      </c>
      <c r="E333" s="2">
        <f>IF($A333&lt;=Dados_Cliente!$B$8*12,E332*(1+Dados_Cliente!$B$27)+Dados_Cliente!$B$7,E332)</f>
        <v>1397.58801631734</v>
      </c>
      <c r="F333" s="2">
        <f>IF($A333&lt;=Dados_Cliente!$B$8*12,F332*(1+Dados_Cliente!$B$28)+Dados_Cliente!$B$7,F332)</f>
        <v>1334.50937803276</v>
      </c>
    </row>
    <row r="334" spans="1:6">
      <c r="A334">
        <f t="shared" si="10"/>
        <v>332</v>
      </c>
      <c r="B334">
        <f t="shared" si="11"/>
        <v>27.6666666666667</v>
      </c>
      <c r="C334" s="2">
        <f>IF($A334&lt;=Dados_Cliente!$B$8*12,C333+Dados_Cliente!$B$7,C333)</f>
        <v>1300</v>
      </c>
      <c r="D334" s="2">
        <f>IF($A334&lt;=Dados_Cliente!$B$8*12,D333*(1+Dados_Cliente!$B$24)+Dados_Cliente!$B$7,D333)</f>
        <v>1366.26290359263</v>
      </c>
      <c r="E334" s="2">
        <f>IF($A334&lt;=Dados_Cliente!$B$8*12,E333*(1+Dados_Cliente!$B$27)+Dados_Cliente!$B$7,E333)</f>
        <v>1397.58801631734</v>
      </c>
      <c r="F334" s="2">
        <f>IF($A334&lt;=Dados_Cliente!$B$8*12,F333*(1+Dados_Cliente!$B$28)+Dados_Cliente!$B$7,F333)</f>
        <v>1334.50937803276</v>
      </c>
    </row>
    <row r="335" spans="1:6">
      <c r="A335">
        <f t="shared" si="10"/>
        <v>333</v>
      </c>
      <c r="B335">
        <f t="shared" si="11"/>
        <v>27.75</v>
      </c>
      <c r="C335" s="2">
        <f>IF($A335&lt;=Dados_Cliente!$B$8*12,C334+Dados_Cliente!$B$7,C334)</f>
        <v>1300</v>
      </c>
      <c r="D335" s="2">
        <f>IF($A335&lt;=Dados_Cliente!$B$8*12,D334*(1+Dados_Cliente!$B$24)+Dados_Cliente!$B$7,D334)</f>
        <v>1366.26290359263</v>
      </c>
      <c r="E335" s="2">
        <f>IF($A335&lt;=Dados_Cliente!$B$8*12,E334*(1+Dados_Cliente!$B$27)+Dados_Cliente!$B$7,E334)</f>
        <v>1397.58801631734</v>
      </c>
      <c r="F335" s="2">
        <f>IF($A335&lt;=Dados_Cliente!$B$8*12,F334*(1+Dados_Cliente!$B$28)+Dados_Cliente!$B$7,F334)</f>
        <v>1334.50937803276</v>
      </c>
    </row>
    <row r="336" spans="1:6">
      <c r="A336">
        <f t="shared" si="10"/>
        <v>334</v>
      </c>
      <c r="B336">
        <f t="shared" si="11"/>
        <v>27.8333333333333</v>
      </c>
      <c r="C336" s="2">
        <f>IF($A336&lt;=Dados_Cliente!$B$8*12,C335+Dados_Cliente!$B$7,C335)</f>
        <v>1300</v>
      </c>
      <c r="D336" s="2">
        <f>IF($A336&lt;=Dados_Cliente!$B$8*12,D335*(1+Dados_Cliente!$B$24)+Dados_Cliente!$B$7,D335)</f>
        <v>1366.26290359263</v>
      </c>
      <c r="E336" s="2">
        <f>IF($A336&lt;=Dados_Cliente!$B$8*12,E335*(1+Dados_Cliente!$B$27)+Dados_Cliente!$B$7,E335)</f>
        <v>1397.58801631734</v>
      </c>
      <c r="F336" s="2">
        <f>IF($A336&lt;=Dados_Cliente!$B$8*12,F335*(1+Dados_Cliente!$B$28)+Dados_Cliente!$B$7,F335)</f>
        <v>1334.50937803276</v>
      </c>
    </row>
    <row r="337" spans="1:6">
      <c r="A337">
        <f t="shared" si="10"/>
        <v>335</v>
      </c>
      <c r="B337">
        <f t="shared" si="11"/>
        <v>27.9166666666667</v>
      </c>
      <c r="C337" s="2">
        <f>IF($A337&lt;=Dados_Cliente!$B$8*12,C336+Dados_Cliente!$B$7,C336)</f>
        <v>1300</v>
      </c>
      <c r="D337" s="2">
        <f>IF($A337&lt;=Dados_Cliente!$B$8*12,D336*(1+Dados_Cliente!$B$24)+Dados_Cliente!$B$7,D336)</f>
        <v>1366.26290359263</v>
      </c>
      <c r="E337" s="2">
        <f>IF($A337&lt;=Dados_Cliente!$B$8*12,E336*(1+Dados_Cliente!$B$27)+Dados_Cliente!$B$7,E336)</f>
        <v>1397.58801631734</v>
      </c>
      <c r="F337" s="2">
        <f>IF($A337&lt;=Dados_Cliente!$B$8*12,F336*(1+Dados_Cliente!$B$28)+Dados_Cliente!$B$7,F336)</f>
        <v>1334.50937803276</v>
      </c>
    </row>
    <row r="338" spans="1:6">
      <c r="A338">
        <f t="shared" si="10"/>
        <v>336</v>
      </c>
      <c r="B338">
        <f t="shared" si="11"/>
        <v>28</v>
      </c>
      <c r="C338" s="2">
        <f>IF($A338&lt;=Dados_Cliente!$B$8*12,C337+Dados_Cliente!$B$7,C337)</f>
        <v>1300</v>
      </c>
      <c r="D338" s="2">
        <f>IF($A338&lt;=Dados_Cliente!$B$8*12,D337*(1+Dados_Cliente!$B$24)+Dados_Cliente!$B$7,D337)</f>
        <v>1366.26290359263</v>
      </c>
      <c r="E338" s="2">
        <f>IF($A338&lt;=Dados_Cliente!$B$8*12,E337*(1+Dados_Cliente!$B$27)+Dados_Cliente!$B$7,E337)</f>
        <v>1397.58801631734</v>
      </c>
      <c r="F338" s="2">
        <f>IF($A338&lt;=Dados_Cliente!$B$8*12,F337*(1+Dados_Cliente!$B$28)+Dados_Cliente!$B$7,F337)</f>
        <v>1334.50937803276</v>
      </c>
    </row>
    <row r="339" spans="1:6">
      <c r="A339">
        <f t="shared" si="10"/>
        <v>337</v>
      </c>
      <c r="B339">
        <f t="shared" si="11"/>
        <v>28.0833333333333</v>
      </c>
      <c r="C339" s="2">
        <f>IF($A339&lt;=Dados_Cliente!$B$8*12,C338+Dados_Cliente!$B$7,C338)</f>
        <v>1300</v>
      </c>
      <c r="D339" s="2">
        <f>IF($A339&lt;=Dados_Cliente!$B$8*12,D338*(1+Dados_Cliente!$B$24)+Dados_Cliente!$B$7,D338)</f>
        <v>1366.26290359263</v>
      </c>
      <c r="E339" s="2">
        <f>IF($A339&lt;=Dados_Cliente!$B$8*12,E338*(1+Dados_Cliente!$B$27)+Dados_Cliente!$B$7,E338)</f>
        <v>1397.58801631734</v>
      </c>
      <c r="F339" s="2">
        <f>IF($A339&lt;=Dados_Cliente!$B$8*12,F338*(1+Dados_Cliente!$B$28)+Dados_Cliente!$B$7,F338)</f>
        <v>1334.50937803276</v>
      </c>
    </row>
    <row r="340" spans="1:6">
      <c r="A340">
        <f t="shared" si="10"/>
        <v>338</v>
      </c>
      <c r="B340">
        <f t="shared" si="11"/>
        <v>28.1666666666667</v>
      </c>
      <c r="C340" s="2">
        <f>IF($A340&lt;=Dados_Cliente!$B$8*12,C339+Dados_Cliente!$B$7,C339)</f>
        <v>1300</v>
      </c>
      <c r="D340" s="2">
        <f>IF($A340&lt;=Dados_Cliente!$B$8*12,D339*(1+Dados_Cliente!$B$24)+Dados_Cliente!$B$7,D339)</f>
        <v>1366.26290359263</v>
      </c>
      <c r="E340" s="2">
        <f>IF($A340&lt;=Dados_Cliente!$B$8*12,E339*(1+Dados_Cliente!$B$27)+Dados_Cliente!$B$7,E339)</f>
        <v>1397.58801631734</v>
      </c>
      <c r="F340" s="2">
        <f>IF($A340&lt;=Dados_Cliente!$B$8*12,F339*(1+Dados_Cliente!$B$28)+Dados_Cliente!$B$7,F339)</f>
        <v>1334.50937803276</v>
      </c>
    </row>
    <row r="341" spans="1:6">
      <c r="A341">
        <f t="shared" si="10"/>
        <v>339</v>
      </c>
      <c r="B341">
        <f t="shared" si="11"/>
        <v>28.25</v>
      </c>
      <c r="C341" s="2">
        <f>IF($A341&lt;=Dados_Cliente!$B$8*12,C340+Dados_Cliente!$B$7,C340)</f>
        <v>1300</v>
      </c>
      <c r="D341" s="2">
        <f>IF($A341&lt;=Dados_Cliente!$B$8*12,D340*(1+Dados_Cliente!$B$24)+Dados_Cliente!$B$7,D340)</f>
        <v>1366.26290359263</v>
      </c>
      <c r="E341" s="2">
        <f>IF($A341&lt;=Dados_Cliente!$B$8*12,E340*(1+Dados_Cliente!$B$27)+Dados_Cliente!$B$7,E340)</f>
        <v>1397.58801631734</v>
      </c>
      <c r="F341" s="2">
        <f>IF($A341&lt;=Dados_Cliente!$B$8*12,F340*(1+Dados_Cliente!$B$28)+Dados_Cliente!$B$7,F340)</f>
        <v>1334.50937803276</v>
      </c>
    </row>
    <row r="342" spans="1:6">
      <c r="A342">
        <f t="shared" si="10"/>
        <v>340</v>
      </c>
      <c r="B342">
        <f t="shared" si="11"/>
        <v>28.3333333333333</v>
      </c>
      <c r="C342" s="2">
        <f>IF($A342&lt;=Dados_Cliente!$B$8*12,C341+Dados_Cliente!$B$7,C341)</f>
        <v>1300</v>
      </c>
      <c r="D342" s="2">
        <f>IF($A342&lt;=Dados_Cliente!$B$8*12,D341*(1+Dados_Cliente!$B$24)+Dados_Cliente!$B$7,D341)</f>
        <v>1366.26290359263</v>
      </c>
      <c r="E342" s="2">
        <f>IF($A342&lt;=Dados_Cliente!$B$8*12,E341*(1+Dados_Cliente!$B$27)+Dados_Cliente!$B$7,E341)</f>
        <v>1397.58801631734</v>
      </c>
      <c r="F342" s="2">
        <f>IF($A342&lt;=Dados_Cliente!$B$8*12,F341*(1+Dados_Cliente!$B$28)+Dados_Cliente!$B$7,F341)</f>
        <v>1334.50937803276</v>
      </c>
    </row>
    <row r="343" spans="1:6">
      <c r="A343">
        <f t="shared" si="10"/>
        <v>341</v>
      </c>
      <c r="B343">
        <f t="shared" si="11"/>
        <v>28.4166666666667</v>
      </c>
      <c r="C343" s="2">
        <f>IF($A343&lt;=Dados_Cliente!$B$8*12,C342+Dados_Cliente!$B$7,C342)</f>
        <v>1300</v>
      </c>
      <c r="D343" s="2">
        <f>IF($A343&lt;=Dados_Cliente!$B$8*12,D342*(1+Dados_Cliente!$B$24)+Dados_Cliente!$B$7,D342)</f>
        <v>1366.26290359263</v>
      </c>
      <c r="E343" s="2">
        <f>IF($A343&lt;=Dados_Cliente!$B$8*12,E342*(1+Dados_Cliente!$B$27)+Dados_Cliente!$B$7,E342)</f>
        <v>1397.58801631734</v>
      </c>
      <c r="F343" s="2">
        <f>IF($A343&lt;=Dados_Cliente!$B$8*12,F342*(1+Dados_Cliente!$B$28)+Dados_Cliente!$B$7,F342)</f>
        <v>1334.50937803276</v>
      </c>
    </row>
    <row r="344" spans="1:6">
      <c r="A344">
        <f t="shared" si="10"/>
        <v>342</v>
      </c>
      <c r="B344">
        <f t="shared" si="11"/>
        <v>28.5</v>
      </c>
      <c r="C344" s="2">
        <f>IF($A344&lt;=Dados_Cliente!$B$8*12,C343+Dados_Cliente!$B$7,C343)</f>
        <v>1300</v>
      </c>
      <c r="D344" s="2">
        <f>IF($A344&lt;=Dados_Cliente!$B$8*12,D343*(1+Dados_Cliente!$B$24)+Dados_Cliente!$B$7,D343)</f>
        <v>1366.26290359263</v>
      </c>
      <c r="E344" s="2">
        <f>IF($A344&lt;=Dados_Cliente!$B$8*12,E343*(1+Dados_Cliente!$B$27)+Dados_Cliente!$B$7,E343)</f>
        <v>1397.58801631734</v>
      </c>
      <c r="F344" s="2">
        <f>IF($A344&lt;=Dados_Cliente!$B$8*12,F343*(1+Dados_Cliente!$B$28)+Dados_Cliente!$B$7,F343)</f>
        <v>1334.50937803276</v>
      </c>
    </row>
    <row r="345" spans="1:6">
      <c r="A345">
        <f t="shared" si="10"/>
        <v>343</v>
      </c>
      <c r="B345">
        <f t="shared" si="11"/>
        <v>28.5833333333333</v>
      </c>
      <c r="C345" s="2">
        <f>IF($A345&lt;=Dados_Cliente!$B$8*12,C344+Dados_Cliente!$B$7,C344)</f>
        <v>1300</v>
      </c>
      <c r="D345" s="2">
        <f>IF($A345&lt;=Dados_Cliente!$B$8*12,D344*(1+Dados_Cliente!$B$24)+Dados_Cliente!$B$7,D344)</f>
        <v>1366.26290359263</v>
      </c>
      <c r="E345" s="2">
        <f>IF($A345&lt;=Dados_Cliente!$B$8*12,E344*(1+Dados_Cliente!$B$27)+Dados_Cliente!$B$7,E344)</f>
        <v>1397.58801631734</v>
      </c>
      <c r="F345" s="2">
        <f>IF($A345&lt;=Dados_Cliente!$B$8*12,F344*(1+Dados_Cliente!$B$28)+Dados_Cliente!$B$7,F344)</f>
        <v>1334.50937803276</v>
      </c>
    </row>
    <row r="346" spans="1:6">
      <c r="A346">
        <f t="shared" si="10"/>
        <v>344</v>
      </c>
      <c r="B346">
        <f t="shared" si="11"/>
        <v>28.6666666666667</v>
      </c>
      <c r="C346" s="2">
        <f>IF($A346&lt;=Dados_Cliente!$B$8*12,C345+Dados_Cliente!$B$7,C345)</f>
        <v>1300</v>
      </c>
      <c r="D346" s="2">
        <f>IF($A346&lt;=Dados_Cliente!$B$8*12,D345*(1+Dados_Cliente!$B$24)+Dados_Cliente!$B$7,D345)</f>
        <v>1366.26290359263</v>
      </c>
      <c r="E346" s="2">
        <f>IF($A346&lt;=Dados_Cliente!$B$8*12,E345*(1+Dados_Cliente!$B$27)+Dados_Cliente!$B$7,E345)</f>
        <v>1397.58801631734</v>
      </c>
      <c r="F346" s="2">
        <f>IF($A346&lt;=Dados_Cliente!$B$8*12,F345*(1+Dados_Cliente!$B$28)+Dados_Cliente!$B$7,F345)</f>
        <v>1334.50937803276</v>
      </c>
    </row>
    <row r="347" spans="1:6">
      <c r="A347">
        <f t="shared" si="10"/>
        <v>345</v>
      </c>
      <c r="B347">
        <f t="shared" si="11"/>
        <v>28.75</v>
      </c>
      <c r="C347" s="2">
        <f>IF($A347&lt;=Dados_Cliente!$B$8*12,C346+Dados_Cliente!$B$7,C346)</f>
        <v>1300</v>
      </c>
      <c r="D347" s="2">
        <f>IF($A347&lt;=Dados_Cliente!$B$8*12,D346*(1+Dados_Cliente!$B$24)+Dados_Cliente!$B$7,D346)</f>
        <v>1366.26290359263</v>
      </c>
      <c r="E347" s="2">
        <f>IF($A347&lt;=Dados_Cliente!$B$8*12,E346*(1+Dados_Cliente!$B$27)+Dados_Cliente!$B$7,E346)</f>
        <v>1397.58801631734</v>
      </c>
      <c r="F347" s="2">
        <f>IF($A347&lt;=Dados_Cliente!$B$8*12,F346*(1+Dados_Cliente!$B$28)+Dados_Cliente!$B$7,F346)</f>
        <v>1334.50937803276</v>
      </c>
    </row>
    <row r="348" spans="1:6">
      <c r="A348">
        <f t="shared" si="10"/>
        <v>346</v>
      </c>
      <c r="B348">
        <f t="shared" si="11"/>
        <v>28.8333333333333</v>
      </c>
      <c r="C348" s="2">
        <f>IF($A348&lt;=Dados_Cliente!$B$8*12,C347+Dados_Cliente!$B$7,C347)</f>
        <v>1300</v>
      </c>
      <c r="D348" s="2">
        <f>IF($A348&lt;=Dados_Cliente!$B$8*12,D347*(1+Dados_Cliente!$B$24)+Dados_Cliente!$B$7,D347)</f>
        <v>1366.26290359263</v>
      </c>
      <c r="E348" s="2">
        <f>IF($A348&lt;=Dados_Cliente!$B$8*12,E347*(1+Dados_Cliente!$B$27)+Dados_Cliente!$B$7,E347)</f>
        <v>1397.58801631734</v>
      </c>
      <c r="F348" s="2">
        <f>IF($A348&lt;=Dados_Cliente!$B$8*12,F347*(1+Dados_Cliente!$B$28)+Dados_Cliente!$B$7,F347)</f>
        <v>1334.50937803276</v>
      </c>
    </row>
    <row r="349" spans="1:6">
      <c r="A349">
        <f t="shared" si="10"/>
        <v>347</v>
      </c>
      <c r="B349">
        <f t="shared" si="11"/>
        <v>28.9166666666667</v>
      </c>
      <c r="C349" s="2">
        <f>IF($A349&lt;=Dados_Cliente!$B$8*12,C348+Dados_Cliente!$B$7,C348)</f>
        <v>1300</v>
      </c>
      <c r="D349" s="2">
        <f>IF($A349&lt;=Dados_Cliente!$B$8*12,D348*(1+Dados_Cliente!$B$24)+Dados_Cliente!$B$7,D348)</f>
        <v>1366.26290359263</v>
      </c>
      <c r="E349" s="2">
        <f>IF($A349&lt;=Dados_Cliente!$B$8*12,E348*(1+Dados_Cliente!$B$27)+Dados_Cliente!$B$7,E348)</f>
        <v>1397.58801631734</v>
      </c>
      <c r="F349" s="2">
        <f>IF($A349&lt;=Dados_Cliente!$B$8*12,F348*(1+Dados_Cliente!$B$28)+Dados_Cliente!$B$7,F348)</f>
        <v>1334.50937803276</v>
      </c>
    </row>
    <row r="350" spans="1:6">
      <c r="A350">
        <f t="shared" si="10"/>
        <v>348</v>
      </c>
      <c r="B350">
        <f t="shared" si="11"/>
        <v>29</v>
      </c>
      <c r="C350" s="2">
        <f>IF($A350&lt;=Dados_Cliente!$B$8*12,C349+Dados_Cliente!$B$7,C349)</f>
        <v>1300</v>
      </c>
      <c r="D350" s="2">
        <f>IF($A350&lt;=Dados_Cliente!$B$8*12,D349*(1+Dados_Cliente!$B$24)+Dados_Cliente!$B$7,D349)</f>
        <v>1366.26290359263</v>
      </c>
      <c r="E350" s="2">
        <f>IF($A350&lt;=Dados_Cliente!$B$8*12,E349*(1+Dados_Cliente!$B$27)+Dados_Cliente!$B$7,E349)</f>
        <v>1397.58801631734</v>
      </c>
      <c r="F350" s="2">
        <f>IF($A350&lt;=Dados_Cliente!$B$8*12,F349*(1+Dados_Cliente!$B$28)+Dados_Cliente!$B$7,F349)</f>
        <v>1334.50937803276</v>
      </c>
    </row>
    <row r="351" spans="1:6">
      <c r="A351">
        <f t="shared" si="10"/>
        <v>349</v>
      </c>
      <c r="B351">
        <f t="shared" si="11"/>
        <v>29.0833333333333</v>
      </c>
      <c r="C351" s="2">
        <f>IF($A351&lt;=Dados_Cliente!$B$8*12,C350+Dados_Cliente!$B$7,C350)</f>
        <v>1300</v>
      </c>
      <c r="D351" s="2">
        <f>IF($A351&lt;=Dados_Cliente!$B$8*12,D350*(1+Dados_Cliente!$B$24)+Dados_Cliente!$B$7,D350)</f>
        <v>1366.26290359263</v>
      </c>
      <c r="E351" s="2">
        <f>IF($A351&lt;=Dados_Cliente!$B$8*12,E350*(1+Dados_Cliente!$B$27)+Dados_Cliente!$B$7,E350)</f>
        <v>1397.58801631734</v>
      </c>
      <c r="F351" s="2">
        <f>IF($A351&lt;=Dados_Cliente!$B$8*12,F350*(1+Dados_Cliente!$B$28)+Dados_Cliente!$B$7,F350)</f>
        <v>1334.50937803276</v>
      </c>
    </row>
    <row r="352" spans="1:6">
      <c r="A352">
        <f t="shared" si="10"/>
        <v>350</v>
      </c>
      <c r="B352">
        <f t="shared" si="11"/>
        <v>29.1666666666667</v>
      </c>
      <c r="C352" s="2">
        <f>IF($A352&lt;=Dados_Cliente!$B$8*12,C351+Dados_Cliente!$B$7,C351)</f>
        <v>1300</v>
      </c>
      <c r="D352" s="2">
        <f>IF($A352&lt;=Dados_Cliente!$B$8*12,D351*(1+Dados_Cliente!$B$24)+Dados_Cliente!$B$7,D351)</f>
        <v>1366.26290359263</v>
      </c>
      <c r="E352" s="2">
        <f>IF($A352&lt;=Dados_Cliente!$B$8*12,E351*(1+Dados_Cliente!$B$27)+Dados_Cliente!$B$7,E351)</f>
        <v>1397.58801631734</v>
      </c>
      <c r="F352" s="2">
        <f>IF($A352&lt;=Dados_Cliente!$B$8*12,F351*(1+Dados_Cliente!$B$28)+Dados_Cliente!$B$7,F351)</f>
        <v>1334.50937803276</v>
      </c>
    </row>
    <row r="353" spans="1:6">
      <c r="A353">
        <f t="shared" si="10"/>
        <v>351</v>
      </c>
      <c r="B353">
        <f t="shared" si="11"/>
        <v>29.25</v>
      </c>
      <c r="C353" s="2">
        <f>IF($A353&lt;=Dados_Cliente!$B$8*12,C352+Dados_Cliente!$B$7,C352)</f>
        <v>1300</v>
      </c>
      <c r="D353" s="2">
        <f>IF($A353&lt;=Dados_Cliente!$B$8*12,D352*(1+Dados_Cliente!$B$24)+Dados_Cliente!$B$7,D352)</f>
        <v>1366.26290359263</v>
      </c>
      <c r="E353" s="2">
        <f>IF($A353&lt;=Dados_Cliente!$B$8*12,E352*(1+Dados_Cliente!$B$27)+Dados_Cliente!$B$7,E352)</f>
        <v>1397.58801631734</v>
      </c>
      <c r="F353" s="2">
        <f>IF($A353&lt;=Dados_Cliente!$B$8*12,F352*(1+Dados_Cliente!$B$28)+Dados_Cliente!$B$7,F352)</f>
        <v>1334.50937803276</v>
      </c>
    </row>
    <row r="354" spans="1:6">
      <c r="A354">
        <f t="shared" si="10"/>
        <v>352</v>
      </c>
      <c r="B354">
        <f t="shared" si="11"/>
        <v>29.3333333333333</v>
      </c>
      <c r="C354" s="2">
        <f>IF($A354&lt;=Dados_Cliente!$B$8*12,C353+Dados_Cliente!$B$7,C353)</f>
        <v>1300</v>
      </c>
      <c r="D354" s="2">
        <f>IF($A354&lt;=Dados_Cliente!$B$8*12,D353*(1+Dados_Cliente!$B$24)+Dados_Cliente!$B$7,D353)</f>
        <v>1366.26290359263</v>
      </c>
      <c r="E354" s="2">
        <f>IF($A354&lt;=Dados_Cliente!$B$8*12,E353*(1+Dados_Cliente!$B$27)+Dados_Cliente!$B$7,E353)</f>
        <v>1397.58801631734</v>
      </c>
      <c r="F354" s="2">
        <f>IF($A354&lt;=Dados_Cliente!$B$8*12,F353*(1+Dados_Cliente!$B$28)+Dados_Cliente!$B$7,F353)</f>
        <v>1334.50937803276</v>
      </c>
    </row>
    <row r="355" spans="1:6">
      <c r="A355">
        <f t="shared" si="10"/>
        <v>353</v>
      </c>
      <c r="B355">
        <f t="shared" si="11"/>
        <v>29.4166666666667</v>
      </c>
      <c r="C355" s="2">
        <f>IF($A355&lt;=Dados_Cliente!$B$8*12,C354+Dados_Cliente!$B$7,C354)</f>
        <v>1300</v>
      </c>
      <c r="D355" s="2">
        <f>IF($A355&lt;=Dados_Cliente!$B$8*12,D354*(1+Dados_Cliente!$B$24)+Dados_Cliente!$B$7,D354)</f>
        <v>1366.26290359263</v>
      </c>
      <c r="E355" s="2">
        <f>IF($A355&lt;=Dados_Cliente!$B$8*12,E354*(1+Dados_Cliente!$B$27)+Dados_Cliente!$B$7,E354)</f>
        <v>1397.58801631734</v>
      </c>
      <c r="F355" s="2">
        <f>IF($A355&lt;=Dados_Cliente!$B$8*12,F354*(1+Dados_Cliente!$B$28)+Dados_Cliente!$B$7,F354)</f>
        <v>1334.50937803276</v>
      </c>
    </row>
    <row r="356" spans="1:6">
      <c r="A356">
        <f t="shared" si="10"/>
        <v>354</v>
      </c>
      <c r="B356">
        <f t="shared" si="11"/>
        <v>29.5</v>
      </c>
      <c r="C356" s="2">
        <f>IF($A356&lt;=Dados_Cliente!$B$8*12,C355+Dados_Cliente!$B$7,C355)</f>
        <v>1300</v>
      </c>
      <c r="D356" s="2">
        <f>IF($A356&lt;=Dados_Cliente!$B$8*12,D355*(1+Dados_Cliente!$B$24)+Dados_Cliente!$B$7,D355)</f>
        <v>1366.26290359263</v>
      </c>
      <c r="E356" s="2">
        <f>IF($A356&lt;=Dados_Cliente!$B$8*12,E355*(1+Dados_Cliente!$B$27)+Dados_Cliente!$B$7,E355)</f>
        <v>1397.58801631734</v>
      </c>
      <c r="F356" s="2">
        <f>IF($A356&lt;=Dados_Cliente!$B$8*12,F355*(1+Dados_Cliente!$B$28)+Dados_Cliente!$B$7,F355)</f>
        <v>1334.50937803276</v>
      </c>
    </row>
    <row r="357" spans="1:6">
      <c r="A357">
        <f t="shared" si="10"/>
        <v>355</v>
      </c>
      <c r="B357">
        <f t="shared" si="11"/>
        <v>29.5833333333333</v>
      </c>
      <c r="C357" s="2">
        <f>IF($A357&lt;=Dados_Cliente!$B$8*12,C356+Dados_Cliente!$B$7,C356)</f>
        <v>1300</v>
      </c>
      <c r="D357" s="2">
        <f>IF($A357&lt;=Dados_Cliente!$B$8*12,D356*(1+Dados_Cliente!$B$24)+Dados_Cliente!$B$7,D356)</f>
        <v>1366.26290359263</v>
      </c>
      <c r="E357" s="2">
        <f>IF($A357&lt;=Dados_Cliente!$B$8*12,E356*(1+Dados_Cliente!$B$27)+Dados_Cliente!$B$7,E356)</f>
        <v>1397.58801631734</v>
      </c>
      <c r="F357" s="2">
        <f>IF($A357&lt;=Dados_Cliente!$B$8*12,F356*(1+Dados_Cliente!$B$28)+Dados_Cliente!$B$7,F356)</f>
        <v>1334.50937803276</v>
      </c>
    </row>
    <row r="358" spans="1:6">
      <c r="A358">
        <f t="shared" si="10"/>
        <v>356</v>
      </c>
      <c r="B358">
        <f t="shared" si="11"/>
        <v>29.6666666666667</v>
      </c>
      <c r="C358" s="2">
        <f>IF($A358&lt;=Dados_Cliente!$B$8*12,C357+Dados_Cliente!$B$7,C357)</f>
        <v>1300</v>
      </c>
      <c r="D358" s="2">
        <f>IF($A358&lt;=Dados_Cliente!$B$8*12,D357*(1+Dados_Cliente!$B$24)+Dados_Cliente!$B$7,D357)</f>
        <v>1366.26290359263</v>
      </c>
      <c r="E358" s="2">
        <f>IF($A358&lt;=Dados_Cliente!$B$8*12,E357*(1+Dados_Cliente!$B$27)+Dados_Cliente!$B$7,E357)</f>
        <v>1397.58801631734</v>
      </c>
      <c r="F358" s="2">
        <f>IF($A358&lt;=Dados_Cliente!$B$8*12,F357*(1+Dados_Cliente!$B$28)+Dados_Cliente!$B$7,F357)</f>
        <v>1334.50937803276</v>
      </c>
    </row>
    <row r="359" spans="1:6">
      <c r="A359">
        <f t="shared" si="10"/>
        <v>357</v>
      </c>
      <c r="B359">
        <f t="shared" si="11"/>
        <v>29.75</v>
      </c>
      <c r="C359" s="2">
        <f>IF($A359&lt;=Dados_Cliente!$B$8*12,C358+Dados_Cliente!$B$7,C358)</f>
        <v>1300</v>
      </c>
      <c r="D359" s="2">
        <f>IF($A359&lt;=Dados_Cliente!$B$8*12,D358*(1+Dados_Cliente!$B$24)+Dados_Cliente!$B$7,D358)</f>
        <v>1366.26290359263</v>
      </c>
      <c r="E359" s="2">
        <f>IF($A359&lt;=Dados_Cliente!$B$8*12,E358*(1+Dados_Cliente!$B$27)+Dados_Cliente!$B$7,E358)</f>
        <v>1397.58801631734</v>
      </c>
      <c r="F359" s="2">
        <f>IF($A359&lt;=Dados_Cliente!$B$8*12,F358*(1+Dados_Cliente!$B$28)+Dados_Cliente!$B$7,F358)</f>
        <v>1334.50937803276</v>
      </c>
    </row>
    <row r="360" spans="1:6">
      <c r="A360">
        <f t="shared" si="10"/>
        <v>358</v>
      </c>
      <c r="B360">
        <f t="shared" si="11"/>
        <v>29.8333333333333</v>
      </c>
      <c r="C360" s="2">
        <f>IF($A360&lt;=Dados_Cliente!$B$8*12,C359+Dados_Cliente!$B$7,C359)</f>
        <v>1300</v>
      </c>
      <c r="D360" s="2">
        <f>IF($A360&lt;=Dados_Cliente!$B$8*12,D359*(1+Dados_Cliente!$B$24)+Dados_Cliente!$B$7,D359)</f>
        <v>1366.26290359263</v>
      </c>
      <c r="E360" s="2">
        <f>IF($A360&lt;=Dados_Cliente!$B$8*12,E359*(1+Dados_Cliente!$B$27)+Dados_Cliente!$B$7,E359)</f>
        <v>1397.58801631734</v>
      </c>
      <c r="F360" s="2">
        <f>IF($A360&lt;=Dados_Cliente!$B$8*12,F359*(1+Dados_Cliente!$B$28)+Dados_Cliente!$B$7,F359)</f>
        <v>1334.50937803276</v>
      </c>
    </row>
    <row r="361" spans="1:6">
      <c r="A361">
        <f t="shared" si="10"/>
        <v>359</v>
      </c>
      <c r="B361">
        <f t="shared" si="11"/>
        <v>29.9166666666667</v>
      </c>
      <c r="C361" s="2">
        <f>IF($A361&lt;=Dados_Cliente!$B$8*12,C360+Dados_Cliente!$B$7,C360)</f>
        <v>1300</v>
      </c>
      <c r="D361" s="2">
        <f>IF($A361&lt;=Dados_Cliente!$B$8*12,D360*(1+Dados_Cliente!$B$24)+Dados_Cliente!$B$7,D360)</f>
        <v>1366.26290359263</v>
      </c>
      <c r="E361" s="2">
        <f>IF($A361&lt;=Dados_Cliente!$B$8*12,E360*(1+Dados_Cliente!$B$27)+Dados_Cliente!$B$7,E360)</f>
        <v>1397.58801631734</v>
      </c>
      <c r="F361" s="2">
        <f>IF($A361&lt;=Dados_Cliente!$B$8*12,F360*(1+Dados_Cliente!$B$28)+Dados_Cliente!$B$7,F360)</f>
        <v>1334.50937803276</v>
      </c>
    </row>
    <row r="362" spans="1:6">
      <c r="A362">
        <f t="shared" si="10"/>
        <v>360</v>
      </c>
      <c r="B362">
        <f t="shared" si="11"/>
        <v>30</v>
      </c>
      <c r="C362" s="2">
        <f>IF($A362&lt;=Dados_Cliente!$B$8*12,C361+Dados_Cliente!$B$7,C361)</f>
        <v>1300</v>
      </c>
      <c r="D362" s="2">
        <f>IF($A362&lt;=Dados_Cliente!$B$8*12,D361*(1+Dados_Cliente!$B$24)+Dados_Cliente!$B$7,D361)</f>
        <v>1366.26290359263</v>
      </c>
      <c r="E362" s="2">
        <f>IF($A362&lt;=Dados_Cliente!$B$8*12,E361*(1+Dados_Cliente!$B$27)+Dados_Cliente!$B$7,E361)</f>
        <v>1397.58801631734</v>
      </c>
      <c r="F362" s="2">
        <f>IF($A362&lt;=Dados_Cliente!$B$8*12,F361*(1+Dados_Cliente!$B$28)+Dados_Cliente!$B$7,F361)</f>
        <v>1334.50937803276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Instrucoes</vt:lpstr>
      <vt:lpstr>Mercado</vt:lpstr>
      <vt:lpstr>Alocacao_Modelo</vt:lpstr>
      <vt:lpstr>Perfil_Risco</vt:lpstr>
      <vt:lpstr>Dados_Cliente</vt:lpstr>
      <vt:lpstr>Resultado</vt:lpstr>
      <vt:lpstr>Projecao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Usuário</cp:lastModifiedBy>
  <dcterms:created xsi:type="dcterms:W3CDTF">2026-07-01T19:57:00Z</dcterms:created>
  <dcterms:modified xsi:type="dcterms:W3CDTF">2026-07-01T21:23:24Z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72BC5B75C5AE46A292DC16D912A537BB_12</vt:lpwstr>
  </property>
  <property fmtid="{D5CDD505-2E9C-101B-9397-08002B2CF9AE}" pid="3" name="KSOProductBuildVer">
    <vt:lpwstr>1046-12.9.0.21555</vt:lpwstr>
  </property>
</Properties>
</file>